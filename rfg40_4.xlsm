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fg40\Downloads\"/>
    </mc:Choice>
  </mc:AlternateContent>
  <bookViews>
    <workbookView xWindow="0" yWindow="0" windowWidth="13875" windowHeight="11820"/>
  </bookViews>
  <sheets>
    <sheet name="Interface" sheetId="6" r:id="rId1"/>
    <sheet name="Inputs" sheetId="1" state="hidden" r:id="rId2"/>
    <sheet name="Linear" sheetId="9" state="hidden" r:id="rId3"/>
    <sheet name="Exponential" sheetId="8" state="hidden" r:id="rId4"/>
  </sheets>
  <functionGroups builtInGroupCount="18"/>
  <definedNames>
    <definedName name="treeList" hidden="1">"10000000000000000000000000000000000000000000000000000000000000000000000000000000000000000000000000000000000000000000000000000000000000000000000000000000000000000000000000000000000000000000000000000000"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9" l="1"/>
  <c r="K4" i="8" s="1"/>
  <c r="K5" i="9"/>
  <c r="K5" i="8" s="1"/>
  <c r="K6" i="9"/>
  <c r="K6" i="8" s="1"/>
  <c r="K3" i="9"/>
  <c r="K3" i="8" s="1"/>
  <c r="A46" i="8"/>
  <c r="B42" i="8"/>
  <c r="D42" i="8"/>
  <c r="C42" i="8"/>
  <c r="N17" i="8"/>
  <c r="N16" i="8"/>
  <c r="N15" i="8"/>
  <c r="N14" i="8"/>
  <c r="K14" i="8"/>
  <c r="N13" i="8"/>
  <c r="N12" i="8"/>
  <c r="N11" i="8"/>
  <c r="N10" i="8"/>
  <c r="N9" i="8"/>
  <c r="N8" i="8"/>
  <c r="N7" i="8"/>
  <c r="N6" i="8"/>
  <c r="N5" i="8"/>
  <c r="N4" i="8"/>
  <c r="N3" i="8"/>
  <c r="C19" i="8" l="1"/>
  <c r="C18" i="8"/>
  <c r="C43" i="8"/>
  <c r="B43" i="8"/>
  <c r="D43" i="8"/>
  <c r="A3" i="9"/>
  <c r="B3" i="9"/>
  <c r="B3" i="8" s="1"/>
  <c r="C3" i="9"/>
  <c r="C3" i="8" s="1"/>
  <c r="D3" i="9"/>
  <c r="N3" i="9"/>
  <c r="A4" i="9"/>
  <c r="B4" i="9"/>
  <c r="C4" i="9"/>
  <c r="C4" i="8" s="1"/>
  <c r="D4" i="9"/>
  <c r="N4" i="9"/>
  <c r="A5" i="9"/>
  <c r="A5" i="8" s="1"/>
  <c r="A26" i="8" s="1"/>
  <c r="A49" i="8" s="1"/>
  <c r="D49" i="8" s="1"/>
  <c r="B5" i="9"/>
  <c r="C5" i="9"/>
  <c r="D5" i="9"/>
  <c r="N5" i="9"/>
  <c r="A6" i="9"/>
  <c r="A6" i="8" s="1"/>
  <c r="A27" i="8" s="1"/>
  <c r="A50" i="8" s="1"/>
  <c r="D50" i="8" s="1"/>
  <c r="B6" i="9"/>
  <c r="C6" i="9"/>
  <c r="D6" i="9"/>
  <c r="N6" i="9"/>
  <c r="A7" i="9"/>
  <c r="B7" i="9"/>
  <c r="C7" i="9"/>
  <c r="D7" i="9"/>
  <c r="N7" i="9"/>
  <c r="A8" i="9"/>
  <c r="B8" i="9"/>
  <c r="C8" i="9"/>
  <c r="D8" i="9"/>
  <c r="N8" i="9"/>
  <c r="A9" i="9"/>
  <c r="B9" i="9"/>
  <c r="C9" i="9"/>
  <c r="D9" i="9"/>
  <c r="N9" i="9"/>
  <c r="A10" i="9"/>
  <c r="B10" i="9"/>
  <c r="C10" i="9"/>
  <c r="D10" i="9"/>
  <c r="N10" i="9"/>
  <c r="A11" i="9"/>
  <c r="A11" i="8" s="1"/>
  <c r="A32" i="8" s="1"/>
  <c r="A55" i="8" s="1"/>
  <c r="D55" i="8" s="1"/>
  <c r="B11" i="9"/>
  <c r="B11" i="8" s="1"/>
  <c r="B32" i="8" s="1"/>
  <c r="C11" i="9"/>
  <c r="D11" i="9"/>
  <c r="N11" i="9"/>
  <c r="A12" i="9"/>
  <c r="B12" i="9"/>
  <c r="C12" i="9"/>
  <c r="D12" i="9"/>
  <c r="N12" i="9"/>
  <c r="A13" i="9"/>
  <c r="B13" i="9"/>
  <c r="C13" i="9"/>
  <c r="C34" i="9" s="1"/>
  <c r="D13" i="9"/>
  <c r="N13" i="9"/>
  <c r="A14" i="9"/>
  <c r="A14" i="8" s="1"/>
  <c r="A35" i="8" s="1"/>
  <c r="A58" i="8" s="1"/>
  <c r="D58" i="8" s="1"/>
  <c r="B14" i="9"/>
  <c r="C14" i="9"/>
  <c r="D14" i="9"/>
  <c r="A15" i="9"/>
  <c r="B15" i="9"/>
  <c r="C15" i="9"/>
  <c r="D15" i="9"/>
  <c r="N15" i="9"/>
  <c r="A16" i="9"/>
  <c r="B16" i="9"/>
  <c r="C16" i="9"/>
  <c r="D16" i="9"/>
  <c r="N16" i="9"/>
  <c r="A17" i="9"/>
  <c r="B17" i="9"/>
  <c r="B17" i="8" s="1"/>
  <c r="B38" i="8" s="1"/>
  <c r="C17" i="9"/>
  <c r="D17" i="9"/>
  <c r="N17" i="9"/>
  <c r="C18" i="9"/>
  <c r="C19" i="9"/>
  <c r="B42" i="9"/>
  <c r="C42" i="9"/>
  <c r="D42" i="9"/>
  <c r="A46" i="9"/>
  <c r="B24" i="8"/>
  <c r="A32" i="9" l="1"/>
  <c r="A55" i="9" s="1"/>
  <c r="D55" i="9" s="1"/>
  <c r="B32" i="9"/>
  <c r="A27" i="9"/>
  <c r="A50" i="9" s="1"/>
  <c r="D50" i="9" s="1"/>
  <c r="A26" i="9"/>
  <c r="A49" i="9" s="1"/>
  <c r="D49" i="9" s="1"/>
  <c r="B38" i="9"/>
  <c r="A38" i="9"/>
  <c r="A61" i="9" s="1"/>
  <c r="D61" i="9" s="1"/>
  <c r="A17" i="8"/>
  <c r="A38" i="8" s="1"/>
  <c r="A61" i="8" s="1"/>
  <c r="D61" i="8" s="1"/>
  <c r="B37" i="9"/>
  <c r="B16" i="8"/>
  <c r="B37" i="8" s="1"/>
  <c r="C36" i="9"/>
  <c r="C15" i="8"/>
  <c r="C36" i="8" s="1"/>
  <c r="B34" i="9"/>
  <c r="B13" i="8"/>
  <c r="B34" i="8" s="1"/>
  <c r="C33" i="9"/>
  <c r="C12" i="8"/>
  <c r="C33" i="8" s="1"/>
  <c r="D32" i="9"/>
  <c r="D11" i="8"/>
  <c r="D32" i="8" s="1"/>
  <c r="B30" i="9"/>
  <c r="B9" i="8"/>
  <c r="B30" i="8" s="1"/>
  <c r="C29" i="9"/>
  <c r="C8" i="8"/>
  <c r="C29" i="8" s="1"/>
  <c r="D28" i="9"/>
  <c r="D7" i="8"/>
  <c r="D28" i="8" s="1"/>
  <c r="A35" i="9"/>
  <c r="A58" i="9" s="1"/>
  <c r="D58" i="9" s="1"/>
  <c r="D38" i="9"/>
  <c r="D17" i="8"/>
  <c r="D38" i="8" s="1"/>
  <c r="A37" i="9"/>
  <c r="A60" i="9" s="1"/>
  <c r="D60" i="9" s="1"/>
  <c r="A16" i="8"/>
  <c r="A37" i="8" s="1"/>
  <c r="A60" i="8" s="1"/>
  <c r="D60" i="8" s="1"/>
  <c r="B36" i="9"/>
  <c r="B15" i="8"/>
  <c r="B36" i="8" s="1"/>
  <c r="D35" i="9"/>
  <c r="D14" i="8"/>
  <c r="D35" i="8" s="1"/>
  <c r="A34" i="9"/>
  <c r="A57" i="9" s="1"/>
  <c r="D57" i="9" s="1"/>
  <c r="A13" i="8"/>
  <c r="A34" i="8" s="1"/>
  <c r="A57" i="8" s="1"/>
  <c r="D57" i="8" s="1"/>
  <c r="B33" i="9"/>
  <c r="B12" i="8"/>
  <c r="B33" i="8" s="1"/>
  <c r="C32" i="9"/>
  <c r="C11" i="8"/>
  <c r="C32" i="8" s="1"/>
  <c r="D31" i="9"/>
  <c r="D10" i="8"/>
  <c r="D31" i="8" s="1"/>
  <c r="A30" i="9"/>
  <c r="A53" i="9" s="1"/>
  <c r="D53" i="9" s="1"/>
  <c r="A9" i="8"/>
  <c r="A30" i="8" s="1"/>
  <c r="A53" i="8" s="1"/>
  <c r="D53" i="8" s="1"/>
  <c r="B29" i="9"/>
  <c r="B8" i="8"/>
  <c r="B29" i="8" s="1"/>
  <c r="C7" i="8"/>
  <c r="D27" i="9"/>
  <c r="D6" i="8"/>
  <c r="D27" i="8" s="1"/>
  <c r="B4" i="8"/>
  <c r="C38" i="9"/>
  <c r="C17" i="8"/>
  <c r="C38" i="8" s="1"/>
  <c r="D37" i="9"/>
  <c r="D16" i="8"/>
  <c r="D37" i="8" s="1"/>
  <c r="A36" i="9"/>
  <c r="A59" i="9" s="1"/>
  <c r="D59" i="9" s="1"/>
  <c r="A15" i="8"/>
  <c r="A36" i="8" s="1"/>
  <c r="A59" i="8" s="1"/>
  <c r="D59" i="8" s="1"/>
  <c r="C35" i="9"/>
  <c r="C14" i="8"/>
  <c r="C35" i="8" s="1"/>
  <c r="D34" i="9"/>
  <c r="D13" i="8"/>
  <c r="D34" i="8" s="1"/>
  <c r="A33" i="9"/>
  <c r="A56" i="9" s="1"/>
  <c r="D56" i="9" s="1"/>
  <c r="A12" i="8"/>
  <c r="A33" i="8" s="1"/>
  <c r="A56" i="8" s="1"/>
  <c r="D56" i="8" s="1"/>
  <c r="C31" i="9"/>
  <c r="C10" i="8"/>
  <c r="C31" i="8" s="1"/>
  <c r="D30" i="9"/>
  <c r="D9" i="8"/>
  <c r="D30" i="8" s="1"/>
  <c r="A29" i="9"/>
  <c r="A52" i="9" s="1"/>
  <c r="D52" i="9" s="1"/>
  <c r="A8" i="8"/>
  <c r="A29" i="8" s="1"/>
  <c r="A52" i="8" s="1"/>
  <c r="D52" i="8" s="1"/>
  <c r="B7" i="8"/>
  <c r="C6" i="8"/>
  <c r="D26" i="9"/>
  <c r="D5" i="8"/>
  <c r="D26" i="8" s="1"/>
  <c r="A25" i="9"/>
  <c r="A48" i="9" s="1"/>
  <c r="D48" i="9" s="1"/>
  <c r="A4" i="8"/>
  <c r="A25" i="8" s="1"/>
  <c r="A48" i="8" s="1"/>
  <c r="D48" i="8" s="1"/>
  <c r="C37" i="9"/>
  <c r="C16" i="8"/>
  <c r="C37" i="8" s="1"/>
  <c r="D36" i="9"/>
  <c r="D15" i="8"/>
  <c r="D36" i="8" s="1"/>
  <c r="B35" i="9"/>
  <c r="B14" i="8"/>
  <c r="B35" i="8" s="1"/>
  <c r="C13" i="8"/>
  <c r="C34" i="8" s="1"/>
  <c r="D33" i="9"/>
  <c r="D12" i="8"/>
  <c r="D33" i="8" s="1"/>
  <c r="B31" i="9"/>
  <c r="B10" i="8"/>
  <c r="B31" i="8" s="1"/>
  <c r="C30" i="9"/>
  <c r="C9" i="8"/>
  <c r="C30" i="8" s="1"/>
  <c r="D29" i="9"/>
  <c r="D8" i="8"/>
  <c r="D29" i="8" s="1"/>
  <c r="A28" i="9"/>
  <c r="A51" i="9" s="1"/>
  <c r="D51" i="9" s="1"/>
  <c r="A7" i="8"/>
  <c r="A28" i="8" s="1"/>
  <c r="A51" i="8" s="1"/>
  <c r="D51" i="8" s="1"/>
  <c r="B6" i="8"/>
  <c r="C5" i="8"/>
  <c r="D25" i="9"/>
  <c r="D4" i="8"/>
  <c r="D25" i="8" s="1"/>
  <c r="A24" i="9"/>
  <c r="A47" i="9" s="1"/>
  <c r="D47" i="9" s="1"/>
  <c r="A3" i="8"/>
  <c r="A24" i="8" s="1"/>
  <c r="A47" i="8" s="1"/>
  <c r="D47" i="8" s="1"/>
  <c r="A31" i="9"/>
  <c r="A54" i="9" s="1"/>
  <c r="D54" i="9" s="1"/>
  <c r="A10" i="8"/>
  <c r="A31" i="8" s="1"/>
  <c r="A54" i="8" s="1"/>
  <c r="D54" i="8" s="1"/>
  <c r="B5" i="8"/>
  <c r="D24" i="9"/>
  <c r="D3" i="8"/>
  <c r="D24" i="8" s="1"/>
  <c r="B43" i="9"/>
  <c r="C43" i="9"/>
  <c r="D43" i="9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2" i="1"/>
  <c r="M3" i="9" s="1"/>
  <c r="B28" i="8"/>
  <c r="B28" i="9"/>
  <c r="B27" i="9"/>
  <c r="B27" i="8"/>
  <c r="B26" i="9"/>
  <c r="B26" i="8"/>
  <c r="B25" i="9"/>
  <c r="B25" i="8"/>
  <c r="B24" i="9"/>
  <c r="B57" i="9" l="1"/>
  <c r="E57" i="9" s="1"/>
  <c r="B58" i="8"/>
  <c r="E58" i="8" s="1"/>
  <c r="B55" i="8"/>
  <c r="E55" i="8" s="1"/>
  <c r="B61" i="8"/>
  <c r="E61" i="8" s="1"/>
  <c r="B52" i="8"/>
  <c r="E52" i="8" s="1"/>
  <c r="B56" i="8"/>
  <c r="E56" i="8" s="1"/>
  <c r="B51" i="8"/>
  <c r="E51" i="8" s="1"/>
  <c r="B53" i="8"/>
  <c r="E53" i="8" s="1"/>
  <c r="B54" i="8"/>
  <c r="E54" i="8" s="1"/>
  <c r="B59" i="8"/>
  <c r="E59" i="8" s="1"/>
  <c r="B57" i="8"/>
  <c r="E57" i="8" s="1"/>
  <c r="B60" i="8"/>
  <c r="E60" i="8" s="1"/>
  <c r="B56" i="9"/>
  <c r="E56" i="9" s="1"/>
  <c r="B61" i="9"/>
  <c r="E61" i="9" s="1"/>
  <c r="B52" i="9"/>
  <c r="E52" i="9" s="1"/>
  <c r="M15" i="9"/>
  <c r="M15" i="8"/>
  <c r="M11" i="9"/>
  <c r="M11" i="8"/>
  <c r="M7" i="9"/>
  <c r="C28" i="9" s="1"/>
  <c r="B51" i="9" s="1"/>
  <c r="E51" i="9" s="1"/>
  <c r="M7" i="8"/>
  <c r="C28" i="8" s="1"/>
  <c r="K14" i="9"/>
  <c r="M14" i="8"/>
  <c r="M10" i="9"/>
  <c r="M10" i="8"/>
  <c r="M6" i="9"/>
  <c r="C27" i="9" s="1"/>
  <c r="B50" i="9" s="1"/>
  <c r="E50" i="9" s="1"/>
  <c r="M6" i="8"/>
  <c r="C27" i="8" s="1"/>
  <c r="B50" i="8" s="1"/>
  <c r="E50" i="8" s="1"/>
  <c r="M13" i="9"/>
  <c r="M13" i="8"/>
  <c r="M9" i="9"/>
  <c r="M9" i="8"/>
  <c r="M5" i="9"/>
  <c r="C26" i="9" s="1"/>
  <c r="B49" i="9" s="1"/>
  <c r="E49" i="9" s="1"/>
  <c r="M5" i="8"/>
  <c r="C26" i="8" s="1"/>
  <c r="B49" i="8" s="1"/>
  <c r="E49" i="8" s="1"/>
  <c r="M16" i="9"/>
  <c r="M16" i="8"/>
  <c r="M12" i="9"/>
  <c r="M12" i="8"/>
  <c r="M8" i="9"/>
  <c r="M8" i="8"/>
  <c r="M4" i="9"/>
  <c r="C25" i="9" s="1"/>
  <c r="B48" i="9" s="1"/>
  <c r="E48" i="9" s="1"/>
  <c r="M4" i="8"/>
  <c r="C25" i="8" s="1"/>
  <c r="B48" i="8" s="1"/>
  <c r="E48" i="8" s="1"/>
  <c r="C24" i="9"/>
  <c r="B47" i="9" s="1"/>
  <c r="M3" i="8"/>
  <c r="C24" i="8" s="1"/>
  <c r="B47" i="8" s="1"/>
  <c r="E47" i="8" s="1"/>
  <c r="M17" i="9"/>
  <c r="M17" i="8"/>
  <c r="B53" i="9"/>
  <c r="E53" i="9" s="1"/>
  <c r="B58" i="9"/>
  <c r="E58" i="9" s="1"/>
  <c r="B55" i="9"/>
  <c r="E55" i="9" s="1"/>
  <c r="B59" i="9"/>
  <c r="E59" i="9" s="1"/>
  <c r="B54" i="9"/>
  <c r="E54" i="9" s="1"/>
  <c r="B60" i="9"/>
  <c r="E60" i="9" s="1"/>
  <c r="B63" i="9" l="1"/>
  <c r="B64" i="9" s="1"/>
  <c r="E47" i="9"/>
  <c r="B63" i="8"/>
  <c r="B64" i="8" s="1"/>
  <c r="D18" i="9"/>
  <c r="D19" i="8"/>
  <c r="D18" i="8"/>
  <c r="D19" i="9"/>
</calcChain>
</file>

<file path=xl/sharedStrings.xml><?xml version="1.0" encoding="utf-8"?>
<sst xmlns="http://schemas.openxmlformats.org/spreadsheetml/2006/main" count="94" uniqueCount="38">
  <si>
    <t>Enjoyment</t>
  </si>
  <si>
    <t>Salary</t>
  </si>
  <si>
    <t>Location</t>
  </si>
  <si>
    <t>Job</t>
  </si>
  <si>
    <t>Great</t>
  </si>
  <si>
    <t>Good</t>
  </si>
  <si>
    <t>Location Rankings</t>
  </si>
  <si>
    <t>Excellent</t>
  </si>
  <si>
    <t xml:space="preserve">Enjoyment </t>
  </si>
  <si>
    <t xml:space="preserve">Boring </t>
  </si>
  <si>
    <t>Attribute Ranking</t>
  </si>
  <si>
    <t>Rho of Salary</t>
  </si>
  <si>
    <t>Weighted Scores</t>
  </si>
  <si>
    <t>Weight</t>
  </si>
  <si>
    <t>Scale</t>
  </si>
  <si>
    <t>Enjoyment of Work</t>
  </si>
  <si>
    <t>Monthly Salary</t>
  </si>
  <si>
    <t>Value Model</t>
  </si>
  <si>
    <t>Best Possible</t>
  </si>
  <si>
    <t>Worst Possible</t>
  </si>
  <si>
    <t>Boring</t>
  </si>
  <si>
    <t>Preference for</t>
  </si>
  <si>
    <t>Rankings</t>
  </si>
  <si>
    <t>Weights</t>
  </si>
  <si>
    <t>Scores</t>
  </si>
  <si>
    <t xml:space="preserve">Choice </t>
  </si>
  <si>
    <t xml:space="preserve">Job </t>
  </si>
  <si>
    <t>Salary($)</t>
  </si>
  <si>
    <t>A. Rose</t>
  </si>
  <si>
    <t>B. Petals</t>
  </si>
  <si>
    <t>C. Water</t>
  </si>
  <si>
    <t>D. Fire</t>
  </si>
  <si>
    <t>E. Earth</t>
  </si>
  <si>
    <t>Washington</t>
  </si>
  <si>
    <t>Austin</t>
  </si>
  <si>
    <t>New York</t>
  </si>
  <si>
    <t>Boston</t>
  </si>
  <si>
    <t>Manila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</si>
</sst>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44" fontId="0" fillId="0" borderId="0" xfId="1" applyFont="1" applyFill="1" applyBorder="1" applyAlignment="1">
      <alignment horizontal="center"/>
    </xf>
    <xf numFmtId="0" fontId="3" fillId="0" borderId="0" xfId="0" applyFont="1" applyFill="1" applyBorder="1"/>
    <xf numFmtId="44" fontId="3" fillId="0" borderId="0" xfId="1" applyFont="1" applyFill="1" applyBorder="1"/>
    <xf numFmtId="2" fontId="3" fillId="0" borderId="0" xfId="0" applyNumberFormat="1" applyFont="1" applyFill="1" applyBorder="1"/>
    <xf numFmtId="44" fontId="0" fillId="0" borderId="0" xfId="1" applyFont="1"/>
    <xf numFmtId="0" fontId="0" fillId="2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5</xdr:col>
          <xdr:colOff>200025</xdr:colOff>
          <xdr:row>3</xdr:row>
          <xdr:rowOff>28575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C2" sqref="C2"/>
    </sheetView>
  </sheetViews>
  <sheetFormatPr defaultRowHeight="15" x14ac:dyDescent="0.25"/>
  <cols>
    <col min="1" max="16384" width="9.140625" style="10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5</xdr:col>
                <xdr:colOff>200025</xdr:colOff>
                <xdr:row>3</xdr:row>
                <xdr:rowOff>28575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4"/>
  <sheetViews>
    <sheetView zoomScale="62" zoomScaleNormal="62" workbookViewId="0">
      <selection activeCell="B6" sqref="B6"/>
    </sheetView>
  </sheetViews>
  <sheetFormatPr defaultRowHeight="15" x14ac:dyDescent="0.25"/>
  <cols>
    <col min="1" max="1" width="13.140625" customWidth="1"/>
    <col min="2" max="2" width="17.85546875" customWidth="1"/>
    <col min="3" max="3" width="15.7109375" bestFit="1" customWidth="1"/>
    <col min="4" max="4" width="18.28515625" customWidth="1"/>
    <col min="6" max="6" width="15.7109375" bestFit="1" customWidth="1"/>
  </cols>
  <sheetData>
    <row r="1" spans="1:11" x14ac:dyDescent="0.25">
      <c r="A1" t="s">
        <v>3</v>
      </c>
      <c r="B1" t="s">
        <v>27</v>
      </c>
      <c r="C1" t="s">
        <v>2</v>
      </c>
      <c r="D1" t="s">
        <v>0</v>
      </c>
      <c r="F1" t="s">
        <v>2</v>
      </c>
      <c r="G1" t="s">
        <v>6</v>
      </c>
      <c r="J1" t="s">
        <v>10</v>
      </c>
    </row>
    <row r="2" spans="1:11" x14ac:dyDescent="0.25">
      <c r="A2" t="s">
        <v>28</v>
      </c>
      <c r="B2">
        <v>10000</v>
      </c>
      <c r="C2" t="s">
        <v>33</v>
      </c>
      <c r="D2" t="s">
        <v>20</v>
      </c>
      <c r="F2" t="str">
        <f>IF(C2="", " ", C2)</f>
        <v>Washington</v>
      </c>
      <c r="G2">
        <v>10</v>
      </c>
      <c r="J2" t="s">
        <v>1</v>
      </c>
      <c r="K2">
        <v>80</v>
      </c>
    </row>
    <row r="3" spans="1:11" x14ac:dyDescent="0.25">
      <c r="A3" t="s">
        <v>29</v>
      </c>
      <c r="B3">
        <v>4000</v>
      </c>
      <c r="C3" t="s">
        <v>34</v>
      </c>
      <c r="D3" t="s">
        <v>4</v>
      </c>
      <c r="F3" t="str">
        <f t="shared" ref="F3:F16" si="0">IF(C3="", " ", C3)</f>
        <v>Austin</v>
      </c>
      <c r="G3">
        <v>30</v>
      </c>
      <c r="J3" t="s">
        <v>2</v>
      </c>
      <c r="K3">
        <v>56</v>
      </c>
    </row>
    <row r="4" spans="1:11" x14ac:dyDescent="0.25">
      <c r="A4" t="s">
        <v>30</v>
      </c>
      <c r="B4">
        <v>1000</v>
      </c>
      <c r="C4" t="s">
        <v>35</v>
      </c>
      <c r="D4" t="s">
        <v>7</v>
      </c>
      <c r="F4" t="str">
        <f t="shared" si="0"/>
        <v>New York</v>
      </c>
      <c r="G4">
        <v>90</v>
      </c>
      <c r="J4" t="s">
        <v>0</v>
      </c>
      <c r="K4">
        <v>90</v>
      </c>
    </row>
    <row r="5" spans="1:11" x14ac:dyDescent="0.25">
      <c r="A5" t="s">
        <v>31</v>
      </c>
      <c r="B5">
        <v>9000</v>
      </c>
      <c r="C5" t="s">
        <v>36</v>
      </c>
      <c r="D5" t="s">
        <v>7</v>
      </c>
      <c r="F5" t="str">
        <f t="shared" si="0"/>
        <v>Boston</v>
      </c>
      <c r="G5">
        <v>70</v>
      </c>
    </row>
    <row r="6" spans="1:11" x14ac:dyDescent="0.25">
      <c r="A6" t="s">
        <v>32</v>
      </c>
      <c r="B6">
        <v>10000</v>
      </c>
      <c r="C6" t="s">
        <v>37</v>
      </c>
      <c r="D6" t="s">
        <v>5</v>
      </c>
      <c r="F6" t="str">
        <f t="shared" si="0"/>
        <v>Manila</v>
      </c>
      <c r="G6">
        <v>60</v>
      </c>
    </row>
    <row r="7" spans="1:11" x14ac:dyDescent="0.25">
      <c r="F7" t="str">
        <f t="shared" si="0"/>
        <v xml:space="preserve"> </v>
      </c>
    </row>
    <row r="8" spans="1:11" x14ac:dyDescent="0.25">
      <c r="F8" t="str">
        <f t="shared" si="0"/>
        <v xml:space="preserve"> </v>
      </c>
    </row>
    <row r="9" spans="1:11" x14ac:dyDescent="0.25">
      <c r="F9" t="str">
        <f t="shared" si="0"/>
        <v xml:space="preserve"> </v>
      </c>
    </row>
    <row r="10" spans="1:11" x14ac:dyDescent="0.25">
      <c r="F10" t="str">
        <f t="shared" si="0"/>
        <v xml:space="preserve"> </v>
      </c>
    </row>
    <row r="11" spans="1:11" x14ac:dyDescent="0.25">
      <c r="F11" t="str">
        <f t="shared" si="0"/>
        <v xml:space="preserve"> </v>
      </c>
    </row>
    <row r="12" spans="1:11" x14ac:dyDescent="0.25">
      <c r="F12" t="str">
        <f t="shared" si="0"/>
        <v xml:space="preserve"> </v>
      </c>
    </row>
    <row r="13" spans="1:11" x14ac:dyDescent="0.25">
      <c r="F13" t="str">
        <f t="shared" si="0"/>
        <v xml:space="preserve"> </v>
      </c>
    </row>
    <row r="14" spans="1:11" x14ac:dyDescent="0.25">
      <c r="F14" t="str">
        <f t="shared" si="0"/>
        <v xml:space="preserve"> </v>
      </c>
    </row>
    <row r="15" spans="1:11" x14ac:dyDescent="0.25">
      <c r="F15" t="str">
        <f t="shared" si="0"/>
        <v xml:space="preserve"> </v>
      </c>
    </row>
    <row r="16" spans="1:11" x14ac:dyDescent="0.25">
      <c r="F16" t="str">
        <f t="shared" si="0"/>
        <v xml:space="preserve"> </v>
      </c>
    </row>
    <row r="17" spans="2:7" x14ac:dyDescent="0.25">
      <c r="B17" s="9"/>
    </row>
    <row r="18" spans="2:7" x14ac:dyDescent="0.25">
      <c r="B18" s="9"/>
      <c r="F18" t="s">
        <v>8</v>
      </c>
    </row>
    <row r="19" spans="2:7" x14ac:dyDescent="0.25">
      <c r="F19" t="s">
        <v>9</v>
      </c>
      <c r="G19">
        <v>0</v>
      </c>
    </row>
    <row r="20" spans="2:7" x14ac:dyDescent="0.25">
      <c r="F20" t="s">
        <v>5</v>
      </c>
      <c r="G20">
        <v>30</v>
      </c>
    </row>
    <row r="21" spans="2:7" x14ac:dyDescent="0.25">
      <c r="F21" t="s">
        <v>4</v>
      </c>
      <c r="G21">
        <v>50</v>
      </c>
    </row>
    <row r="22" spans="2:7" x14ac:dyDescent="0.25">
      <c r="F22" t="s">
        <v>7</v>
      </c>
      <c r="G22">
        <v>100</v>
      </c>
    </row>
    <row r="24" spans="2:7" x14ac:dyDescent="0.25">
      <c r="F2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4"/>
  <sheetViews>
    <sheetView workbookViewId="0">
      <selection activeCell="C2" sqref="C2"/>
    </sheetView>
  </sheetViews>
  <sheetFormatPr defaultRowHeight="15" x14ac:dyDescent="0.25"/>
  <cols>
    <col min="2" max="2" width="14.28515625" bestFit="1" customWidth="1"/>
    <col min="3" max="3" width="8.42578125" bestFit="1" customWidth="1"/>
    <col min="4" max="4" width="18.28515625" bestFit="1" customWidth="1"/>
    <col min="5" max="5" width="3.7109375" customWidth="1"/>
    <col min="6" max="7" width="3" customWidth="1"/>
    <col min="8" max="8" width="2.5703125" customWidth="1"/>
    <col min="9" max="9" width="2.85546875" customWidth="1"/>
    <col min="10" max="10" width="18.5703125" bestFit="1" customWidth="1"/>
    <col min="11" max="11" width="10.5703125" bestFit="1" customWidth="1"/>
    <col min="12" max="12" width="2.28515625" customWidth="1"/>
    <col min="13" max="13" width="14" bestFit="1" customWidth="1"/>
  </cols>
  <sheetData>
    <row r="1" spans="1:14" x14ac:dyDescent="0.25">
      <c r="J1" s="2" t="s">
        <v>21</v>
      </c>
      <c r="K1" s="1"/>
      <c r="L1" s="1"/>
      <c r="M1" s="2" t="s">
        <v>2</v>
      </c>
      <c r="N1" s="1"/>
    </row>
    <row r="2" spans="1:14" x14ac:dyDescent="0.25">
      <c r="A2" t="s">
        <v>3</v>
      </c>
      <c r="B2" s="6" t="s">
        <v>16</v>
      </c>
      <c r="C2" s="6" t="s">
        <v>2</v>
      </c>
      <c r="D2" s="6" t="s">
        <v>15</v>
      </c>
      <c r="J2" s="2" t="s">
        <v>0</v>
      </c>
      <c r="K2" s="1"/>
      <c r="L2" s="1"/>
      <c r="M2" s="2" t="s">
        <v>22</v>
      </c>
      <c r="N2" s="1"/>
    </row>
    <row r="3" spans="1:14" x14ac:dyDescent="0.25">
      <c r="A3" t="str">
        <f>Inputs!A2</f>
        <v>A. Rose</v>
      </c>
      <c r="B3">
        <f>Inputs!B2</f>
        <v>10000</v>
      </c>
      <c r="C3" t="str">
        <f>Inputs!C2</f>
        <v>Washington</v>
      </c>
      <c r="D3" t="str">
        <f>Inputs!D2</f>
        <v>Boring</v>
      </c>
      <c r="J3" s="3" t="s">
        <v>20</v>
      </c>
      <c r="K3" s="3">
        <f>Inputs!G19</f>
        <v>0</v>
      </c>
      <c r="L3" s="1"/>
      <c r="M3" t="str">
        <f>Inputs!F2</f>
        <v>Washington</v>
      </c>
      <c r="N3" s="3">
        <f>Inputs!G2</f>
        <v>10</v>
      </c>
    </row>
    <row r="4" spans="1:14" x14ac:dyDescent="0.25">
      <c r="A4" t="str">
        <f>Inputs!A3</f>
        <v>B. Petals</v>
      </c>
      <c r="B4">
        <f>Inputs!B3</f>
        <v>4000</v>
      </c>
      <c r="C4" t="str">
        <f>Inputs!C3</f>
        <v>Austin</v>
      </c>
      <c r="D4" t="str">
        <f>Inputs!D3</f>
        <v>Great</v>
      </c>
      <c r="J4" s="3" t="s">
        <v>5</v>
      </c>
      <c r="K4" s="3">
        <f>Inputs!G20</f>
        <v>30</v>
      </c>
      <c r="L4" s="1"/>
      <c r="M4" t="str">
        <f>Inputs!F3</f>
        <v>Austin</v>
      </c>
      <c r="N4" s="3">
        <f>Inputs!G3</f>
        <v>30</v>
      </c>
    </row>
    <row r="5" spans="1:14" x14ac:dyDescent="0.25">
      <c r="A5" t="str">
        <f>Inputs!A4</f>
        <v>C. Water</v>
      </c>
      <c r="B5">
        <f>Inputs!B4</f>
        <v>1000</v>
      </c>
      <c r="C5" t="str">
        <f>Inputs!C4</f>
        <v>New York</v>
      </c>
      <c r="D5" t="str">
        <f>Inputs!D4</f>
        <v>Excellent</v>
      </c>
      <c r="J5" s="3" t="s">
        <v>4</v>
      </c>
      <c r="K5" s="3">
        <f>Inputs!G21</f>
        <v>50</v>
      </c>
      <c r="L5" s="1"/>
      <c r="M5" t="str">
        <f>Inputs!F4</f>
        <v>New York</v>
      </c>
      <c r="N5" s="3">
        <f>Inputs!G4</f>
        <v>90</v>
      </c>
    </row>
    <row r="6" spans="1:14" x14ac:dyDescent="0.25">
      <c r="A6" t="str">
        <f>Inputs!A5</f>
        <v>D. Fire</v>
      </c>
      <c r="B6">
        <f>Inputs!B5</f>
        <v>9000</v>
      </c>
      <c r="C6" t="str">
        <f>Inputs!C5</f>
        <v>Boston</v>
      </c>
      <c r="D6" t="str">
        <f>Inputs!D5</f>
        <v>Excellent</v>
      </c>
      <c r="J6" s="3" t="s">
        <v>7</v>
      </c>
      <c r="K6" s="3">
        <f>Inputs!G22</f>
        <v>100</v>
      </c>
      <c r="L6" s="1"/>
      <c r="M6" t="str">
        <f>Inputs!F5</f>
        <v>Boston</v>
      </c>
      <c r="N6" s="3">
        <f>Inputs!G5</f>
        <v>70</v>
      </c>
    </row>
    <row r="7" spans="1:14" x14ac:dyDescent="0.25">
      <c r="A7" t="str">
        <f>Inputs!A6</f>
        <v>E. Earth</v>
      </c>
      <c r="B7">
        <f>Inputs!B6</f>
        <v>10000</v>
      </c>
      <c r="C7" t="str">
        <f>Inputs!C6</f>
        <v>Manila</v>
      </c>
      <c r="D7" t="str">
        <f>Inputs!D6</f>
        <v>Good</v>
      </c>
      <c r="J7" s="3"/>
      <c r="K7" s="3"/>
      <c r="L7" s="1"/>
      <c r="M7" t="str">
        <f>Inputs!F6</f>
        <v>Manila</v>
      </c>
      <c r="N7" s="3">
        <f>Inputs!G6</f>
        <v>60</v>
      </c>
    </row>
    <row r="8" spans="1:14" x14ac:dyDescent="0.25">
      <c r="A8">
        <f>Inputs!A7</f>
        <v>0</v>
      </c>
      <c r="B8">
        <f>Inputs!B7</f>
        <v>0</v>
      </c>
      <c r="C8">
        <f>Inputs!C7</f>
        <v>0</v>
      </c>
      <c r="D8">
        <f>Inputs!D7</f>
        <v>0</v>
      </c>
      <c r="J8" s="3"/>
      <c r="K8" s="3"/>
      <c r="L8" s="1"/>
      <c r="M8" t="str">
        <f>Inputs!F7</f>
        <v xml:space="preserve"> </v>
      </c>
      <c r="N8" s="3">
        <f>Inputs!G7</f>
        <v>0</v>
      </c>
    </row>
    <row r="9" spans="1:14" x14ac:dyDescent="0.25">
      <c r="A9">
        <f>Inputs!A8</f>
        <v>0</v>
      </c>
      <c r="B9">
        <f>Inputs!B8</f>
        <v>0</v>
      </c>
      <c r="C9">
        <f>Inputs!C8</f>
        <v>0</v>
      </c>
      <c r="D9">
        <f>Inputs!D8</f>
        <v>0</v>
      </c>
      <c r="J9" s="3"/>
      <c r="K9" s="3"/>
      <c r="L9" s="1"/>
      <c r="M9" t="str">
        <f>Inputs!F8</f>
        <v xml:space="preserve"> </v>
      </c>
      <c r="N9" s="3">
        <f>Inputs!G8</f>
        <v>0</v>
      </c>
    </row>
    <row r="10" spans="1:14" x14ac:dyDescent="0.25">
      <c r="A10">
        <f>Inputs!A9</f>
        <v>0</v>
      </c>
      <c r="B10">
        <f>Inputs!B9</f>
        <v>0</v>
      </c>
      <c r="C10">
        <f>Inputs!C9</f>
        <v>0</v>
      </c>
      <c r="D10">
        <f>Inputs!D9</f>
        <v>0</v>
      </c>
      <c r="J10" s="3"/>
      <c r="K10" s="3"/>
      <c r="L10" s="1"/>
      <c r="M10" t="str">
        <f>Inputs!F9</f>
        <v xml:space="preserve"> </v>
      </c>
      <c r="N10" s="3">
        <f>Inputs!G9</f>
        <v>0</v>
      </c>
    </row>
    <row r="11" spans="1:14" x14ac:dyDescent="0.25">
      <c r="A11">
        <f>Inputs!A10</f>
        <v>0</v>
      </c>
      <c r="B11">
        <f>Inputs!B10</f>
        <v>0</v>
      </c>
      <c r="C11">
        <f>Inputs!C10</f>
        <v>0</v>
      </c>
      <c r="D11">
        <f>Inputs!D10</f>
        <v>0</v>
      </c>
      <c r="J11" s="3"/>
      <c r="K11" s="3"/>
      <c r="L11" s="1"/>
      <c r="M11" t="str">
        <f>Inputs!F10</f>
        <v xml:space="preserve"> </v>
      </c>
      <c r="N11" s="3">
        <f>Inputs!G10</f>
        <v>0</v>
      </c>
    </row>
    <row r="12" spans="1:14" x14ac:dyDescent="0.25">
      <c r="A12">
        <f>Inputs!A11</f>
        <v>0</v>
      </c>
      <c r="B12">
        <f>Inputs!B11</f>
        <v>0</v>
      </c>
      <c r="C12">
        <f>Inputs!C11</f>
        <v>0</v>
      </c>
      <c r="D12">
        <f>Inputs!D11</f>
        <v>0</v>
      </c>
      <c r="J12" s="3"/>
      <c r="K12" s="3"/>
      <c r="L12" s="1"/>
      <c r="M12" t="str">
        <f>Inputs!F11</f>
        <v xml:space="preserve"> </v>
      </c>
      <c r="N12" s="3">
        <f>Inputs!G11</f>
        <v>0</v>
      </c>
    </row>
    <row r="13" spans="1:14" x14ac:dyDescent="0.25">
      <c r="A13">
        <f>Inputs!A12</f>
        <v>0</v>
      </c>
      <c r="B13">
        <f>Inputs!B12</f>
        <v>0</v>
      </c>
      <c r="C13">
        <f>Inputs!C12</f>
        <v>0</v>
      </c>
      <c r="D13">
        <f>Inputs!D12</f>
        <v>0</v>
      </c>
      <c r="J13" s="2"/>
      <c r="K13" s="3"/>
      <c r="L13" s="1"/>
      <c r="M13" t="str">
        <f>Inputs!F12</f>
        <v xml:space="preserve"> </v>
      </c>
      <c r="N13" s="3">
        <f>Inputs!G12</f>
        <v>0</v>
      </c>
    </row>
    <row r="14" spans="1:14" x14ac:dyDescent="0.25">
      <c r="A14">
        <f>Inputs!A13</f>
        <v>0</v>
      </c>
      <c r="B14">
        <f>Inputs!B13</f>
        <v>0</v>
      </c>
      <c r="C14">
        <f>Inputs!C13</f>
        <v>0</v>
      </c>
      <c r="D14">
        <f>Inputs!D13</f>
        <v>0</v>
      </c>
      <c r="J14" s="1"/>
      <c r="K14" t="str">
        <f>Inputs!F13</f>
        <v xml:space="preserve"> </v>
      </c>
      <c r="L14" s="3"/>
    </row>
    <row r="15" spans="1:14" x14ac:dyDescent="0.25">
      <c r="A15">
        <f>Inputs!A14</f>
        <v>0</v>
      </c>
      <c r="B15">
        <f>Inputs!B14</f>
        <v>0</v>
      </c>
      <c r="C15">
        <f>Inputs!C14</f>
        <v>0</v>
      </c>
      <c r="D15">
        <f>Inputs!D14</f>
        <v>0</v>
      </c>
      <c r="J15" s="3"/>
      <c r="K15" s="3"/>
      <c r="L15" s="1"/>
      <c r="M15" t="str">
        <f>Inputs!F14</f>
        <v xml:space="preserve"> </v>
      </c>
      <c r="N15" s="3">
        <f>Inputs!G14</f>
        <v>0</v>
      </c>
    </row>
    <row r="16" spans="1:14" x14ac:dyDescent="0.25">
      <c r="A16">
        <f>Inputs!A15</f>
        <v>0</v>
      </c>
      <c r="B16">
        <f>Inputs!B15</f>
        <v>0</v>
      </c>
      <c r="C16">
        <f>Inputs!C15</f>
        <v>0</v>
      </c>
      <c r="D16">
        <f>Inputs!D15</f>
        <v>0</v>
      </c>
      <c r="J16" s="3"/>
      <c r="K16" s="3"/>
      <c r="L16" s="1"/>
      <c r="M16" t="str">
        <f>Inputs!F15</f>
        <v xml:space="preserve"> </v>
      </c>
      <c r="N16" s="3">
        <f>Inputs!G15</f>
        <v>0</v>
      </c>
    </row>
    <row r="17" spans="1:14" x14ac:dyDescent="0.25">
      <c r="A17">
        <f>Inputs!A16</f>
        <v>0</v>
      </c>
      <c r="B17">
        <f>Inputs!B16</f>
        <v>0</v>
      </c>
      <c r="C17">
        <f>Inputs!C16</f>
        <v>0</v>
      </c>
      <c r="D17">
        <f>Inputs!D16</f>
        <v>0</v>
      </c>
      <c r="J17" s="3"/>
      <c r="K17" s="5"/>
      <c r="L17" s="1"/>
      <c r="M17" t="str">
        <f>Inputs!F16</f>
        <v xml:space="preserve"> </v>
      </c>
      <c r="N17" s="3">
        <f>Inputs!G16</f>
        <v>0</v>
      </c>
    </row>
    <row r="18" spans="1:14" x14ac:dyDescent="0.25">
      <c r="A18" s="6" t="s">
        <v>19</v>
      </c>
      <c r="B18" s="7">
        <v>1000</v>
      </c>
      <c r="C18" s="8" t="str">
        <f>INDEX($J$3:$J$6,MATCH(MIN($K$3:$K$6),$K$3:$K$6,0),1)</f>
        <v>Boring</v>
      </c>
      <c r="D18" s="8" t="str">
        <f>INDEX($M$3:$M$17,MATCH(MIN($N$3:$N$17),$N$3:$N$17,0),1)</f>
        <v xml:space="preserve"> </v>
      </c>
    </row>
    <row r="19" spans="1:14" x14ac:dyDescent="0.25">
      <c r="A19" s="6" t="s">
        <v>18</v>
      </c>
      <c r="B19" s="7">
        <v>10000</v>
      </c>
      <c r="C19" s="8" t="str">
        <f>INDEX($J$3:$J$6,MATCH(MAX($K$3:$K$6),$K$3:$K$6,0),1)</f>
        <v>Excellent</v>
      </c>
      <c r="D19" s="8" t="str">
        <f>INDEX($M$3:$M$10,MATCH(MAX($N$3:$N$10),$N$3:$N$10,0),1)</f>
        <v>New York</v>
      </c>
    </row>
    <row r="21" spans="1:14" x14ac:dyDescent="0.25">
      <c r="A21" t="s">
        <v>17</v>
      </c>
    </row>
    <row r="23" spans="1:14" x14ac:dyDescent="0.25">
      <c r="A23" t="s">
        <v>3</v>
      </c>
      <c r="B23" s="6" t="s">
        <v>16</v>
      </c>
      <c r="C23" s="6" t="s">
        <v>2</v>
      </c>
      <c r="D23" s="6" t="s">
        <v>15</v>
      </c>
    </row>
    <row r="24" spans="1:14" x14ac:dyDescent="0.25">
      <c r="A24" t="str">
        <f t="shared" ref="A24:A38" si="0">A3</f>
        <v>A. Rose</v>
      </c>
      <c r="B24">
        <f>IF(B3=0,"0",IF(B3="","",linearvaluefunction($B$19,$B$18,B3)*100))</f>
        <v>100</v>
      </c>
      <c r="C24">
        <f t="shared" ref="C24:C38" si="1">IF(C3=0,"0",IF(C3="","",INDEX($M$3:$N$17,MATCH(C3,$M$3:$M$17,0),2)))</f>
        <v>10</v>
      </c>
      <c r="D24">
        <f t="shared" ref="D24:D38" si="2">IF(D3=0,"0",IF(D3="","",INDEX($J$3:$K$6,MATCH(D3,$J$3:$J$6,0),2)))</f>
        <v>0</v>
      </c>
    </row>
    <row r="25" spans="1:14" x14ac:dyDescent="0.25">
      <c r="A25" t="str">
        <f t="shared" si="0"/>
        <v>B. Petals</v>
      </c>
      <c r="B25">
        <f>IF(B4=0,"0",IF(B4="","",linearvaluefunction($B$19,$B$18,B4)*100))</f>
        <v>33.333333333333336</v>
      </c>
      <c r="C25">
        <f t="shared" si="1"/>
        <v>30</v>
      </c>
      <c r="D25">
        <f t="shared" si="2"/>
        <v>50</v>
      </c>
    </row>
    <row r="26" spans="1:14" x14ac:dyDescent="0.25">
      <c r="A26" t="str">
        <f t="shared" si="0"/>
        <v>C. Water</v>
      </c>
      <c r="B26">
        <f>IF(B5=0,"0",IF(B5="","",linearvaluefunction($B$19,$B$18,B5)*100))</f>
        <v>0</v>
      </c>
      <c r="C26">
        <f t="shared" si="1"/>
        <v>90</v>
      </c>
      <c r="D26">
        <f t="shared" si="2"/>
        <v>100</v>
      </c>
    </row>
    <row r="27" spans="1:14" x14ac:dyDescent="0.25">
      <c r="A27" t="str">
        <f t="shared" si="0"/>
        <v>D. Fire</v>
      </c>
      <c r="B27">
        <f>IF(B6=0,"0",IF(B6="","",linearvaluefunction($B$19,$B$18,B6)*100))</f>
        <v>88.888888888888886</v>
      </c>
      <c r="C27">
        <f t="shared" si="1"/>
        <v>70</v>
      </c>
      <c r="D27">
        <f t="shared" si="2"/>
        <v>100</v>
      </c>
    </row>
    <row r="28" spans="1:14" x14ac:dyDescent="0.25">
      <c r="A28" t="str">
        <f t="shared" si="0"/>
        <v>E. Earth</v>
      </c>
      <c r="B28">
        <f>IF(B7=0,"0",IF(B7="","",linearvaluefunction($B$19,$B$18,B7)*100))</f>
        <v>100</v>
      </c>
      <c r="C28">
        <f t="shared" si="1"/>
        <v>60</v>
      </c>
      <c r="D28">
        <f t="shared" si="2"/>
        <v>30</v>
      </c>
    </row>
    <row r="29" spans="1:14" x14ac:dyDescent="0.25">
      <c r="A29">
        <f t="shared" si="0"/>
        <v>0</v>
      </c>
      <c r="B29" t="str">
        <f>IF(B8=0,"0",IF(B8="","",linearvaluefunction($B$19,$B$18,B8)*100))</f>
        <v>0</v>
      </c>
      <c r="C29" t="str">
        <f t="shared" si="1"/>
        <v>0</v>
      </c>
      <c r="D29" t="str">
        <f t="shared" si="2"/>
        <v>0</v>
      </c>
    </row>
    <row r="30" spans="1:14" x14ac:dyDescent="0.25">
      <c r="A30">
        <f t="shared" si="0"/>
        <v>0</v>
      </c>
      <c r="B30" t="str">
        <f>IF(B9=0,"0",IF(B9="","",linearvaluefunction($B$19,$B$18,B9)*100))</f>
        <v>0</v>
      </c>
      <c r="C30" t="str">
        <f t="shared" si="1"/>
        <v>0</v>
      </c>
      <c r="D30" t="str">
        <f t="shared" si="2"/>
        <v>0</v>
      </c>
    </row>
    <row r="31" spans="1:14" x14ac:dyDescent="0.25">
      <c r="A31">
        <f t="shared" si="0"/>
        <v>0</v>
      </c>
      <c r="B31" t="str">
        <f>IF(B10=0,"0",IF(B10="","",linearvaluefunction($B$19,$B$18,B10)*100))</f>
        <v>0</v>
      </c>
      <c r="C31" t="str">
        <f t="shared" si="1"/>
        <v>0</v>
      </c>
      <c r="D31" t="str">
        <f t="shared" si="2"/>
        <v>0</v>
      </c>
    </row>
    <row r="32" spans="1:14" x14ac:dyDescent="0.25">
      <c r="A32">
        <f t="shared" si="0"/>
        <v>0</v>
      </c>
      <c r="B32" t="str">
        <f>IF(B11=0,"0",IF(B11="","",linearvaluefunction($B$19,$B$18,B11)*100))</f>
        <v>0</v>
      </c>
      <c r="C32" t="str">
        <f t="shared" si="1"/>
        <v>0</v>
      </c>
      <c r="D32" t="str">
        <f t="shared" si="2"/>
        <v>0</v>
      </c>
    </row>
    <row r="33" spans="1:5" x14ac:dyDescent="0.25">
      <c r="A33">
        <f t="shared" si="0"/>
        <v>0</v>
      </c>
      <c r="B33" t="str">
        <f>IF(B12=0,"0",IF(B12="","",linearvaluefunction($B$19,$B$18,B12)*100))</f>
        <v>0</v>
      </c>
      <c r="C33" t="str">
        <f t="shared" si="1"/>
        <v>0</v>
      </c>
      <c r="D33" t="str">
        <f t="shared" si="2"/>
        <v>0</v>
      </c>
    </row>
    <row r="34" spans="1:5" x14ac:dyDescent="0.25">
      <c r="A34">
        <f t="shared" si="0"/>
        <v>0</v>
      </c>
      <c r="B34" t="str">
        <f>IF(B13=0,"0",IF(B13="","",linearvaluefunction($B$19,$B$18,B13)*100))</f>
        <v>0</v>
      </c>
      <c r="C34" t="str">
        <f t="shared" si="1"/>
        <v>0</v>
      </c>
      <c r="D34" t="str">
        <f t="shared" si="2"/>
        <v>0</v>
      </c>
    </row>
    <row r="35" spans="1:5" x14ac:dyDescent="0.25">
      <c r="A35">
        <f t="shared" si="0"/>
        <v>0</v>
      </c>
      <c r="B35" t="str">
        <f>IF(B14=0,"0",IF(B14="","",linearvaluefunction($B$19,$B$18,B14)*100))</f>
        <v>0</v>
      </c>
      <c r="C35" t="str">
        <f t="shared" si="1"/>
        <v>0</v>
      </c>
      <c r="D35" t="str">
        <f t="shared" si="2"/>
        <v>0</v>
      </c>
    </row>
    <row r="36" spans="1:5" x14ac:dyDescent="0.25">
      <c r="A36">
        <f t="shared" si="0"/>
        <v>0</v>
      </c>
      <c r="B36" t="str">
        <f>IF(B15=0,"0",IF(B15="","",linearvaluefunction($B$19,$B$18,B15)*100))</f>
        <v>0</v>
      </c>
      <c r="C36" t="str">
        <f t="shared" si="1"/>
        <v>0</v>
      </c>
      <c r="D36" t="str">
        <f t="shared" si="2"/>
        <v>0</v>
      </c>
    </row>
    <row r="37" spans="1:5" x14ac:dyDescent="0.25">
      <c r="A37">
        <f t="shared" si="0"/>
        <v>0</v>
      </c>
      <c r="B37" t="str">
        <f>IF(B16=0,"0",IF(B16="","",linearvaluefunction($B$19,$B$18,B16)*100))</f>
        <v>0</v>
      </c>
      <c r="C37" t="str">
        <f t="shared" si="1"/>
        <v>0</v>
      </c>
      <c r="D37" t="str">
        <f t="shared" si="2"/>
        <v>0</v>
      </c>
    </row>
    <row r="38" spans="1:5" x14ac:dyDescent="0.25">
      <c r="A38">
        <f t="shared" si="0"/>
        <v>0</v>
      </c>
      <c r="B38" t="str">
        <f>IF(B17=0,"0",IF(B17="","",linearvaluefunction($B$19,$B$18,B17)*100))</f>
        <v>0</v>
      </c>
      <c r="C38" t="str">
        <f t="shared" si="1"/>
        <v>0</v>
      </c>
      <c r="D38" t="str">
        <f t="shared" si="2"/>
        <v>0</v>
      </c>
    </row>
    <row r="39" spans="1:5" x14ac:dyDescent="0.25">
      <c r="A39" s="6"/>
      <c r="B39" s="7"/>
      <c r="C39" s="8"/>
      <c r="D39" s="8"/>
    </row>
    <row r="40" spans="1:5" x14ac:dyDescent="0.25">
      <c r="A40" s="6" t="s">
        <v>23</v>
      </c>
      <c r="B40" s="7"/>
      <c r="C40" s="8"/>
      <c r="D40" s="8"/>
    </row>
    <row r="41" spans="1:5" x14ac:dyDescent="0.25">
      <c r="B41" t="s">
        <v>16</v>
      </c>
      <c r="C41" t="s">
        <v>2</v>
      </c>
      <c r="D41" t="s">
        <v>0</v>
      </c>
    </row>
    <row r="42" spans="1:5" x14ac:dyDescent="0.25">
      <c r="A42" t="s">
        <v>14</v>
      </c>
      <c r="B42">
        <f>Inputs!K2</f>
        <v>80</v>
      </c>
      <c r="C42">
        <f>Inputs!K3</f>
        <v>56</v>
      </c>
      <c r="D42">
        <f>Inputs!K4</f>
        <v>90</v>
      </c>
    </row>
    <row r="43" spans="1:5" x14ac:dyDescent="0.25">
      <c r="A43" t="s">
        <v>13</v>
      </c>
      <c r="B43">
        <f>IF(SUM($B$42:$D$42)=0,"0",B42/SUM($B$42:$D$42))</f>
        <v>0.35398230088495575</v>
      </c>
      <c r="C43">
        <f>IF(SUM($B$42:$D$42)=0,"0",C42/SUM($B$42:$D$42))</f>
        <v>0.24778761061946902</v>
      </c>
      <c r="D43">
        <f>IF(SUM($B$42:$D$42)=0,"0",D42/SUM($B$42:$D$42))</f>
        <v>0.39823008849557523</v>
      </c>
    </row>
    <row r="45" spans="1:5" x14ac:dyDescent="0.25">
      <c r="A45" t="s">
        <v>12</v>
      </c>
      <c r="D45" t="s">
        <v>12</v>
      </c>
    </row>
    <row r="46" spans="1:5" x14ac:dyDescent="0.25">
      <c r="A46" t="str">
        <f t="shared" ref="A46" si="3">A23</f>
        <v>Job</v>
      </c>
      <c r="B46" t="s">
        <v>24</v>
      </c>
      <c r="D46" t="s">
        <v>26</v>
      </c>
      <c r="E46" t="s">
        <v>24</v>
      </c>
    </row>
    <row r="47" spans="1:5" x14ac:dyDescent="0.25">
      <c r="A47" t="str">
        <f>A24</f>
        <v>A. Rose</v>
      </c>
      <c r="B47">
        <f t="shared" ref="B47:B61" si="4">IF(B24="","",SUMPRODUCT(B24:D24,$B$43:$D$43))</f>
        <v>37.876106194690266</v>
      </c>
      <c r="D47" t="str">
        <f>IF(A47=0," ", A47)</f>
        <v>A. Rose</v>
      </c>
      <c r="E47">
        <f>IF(B47=0," ", B47)</f>
        <v>37.876106194690266</v>
      </c>
    </row>
    <row r="48" spans="1:5" x14ac:dyDescent="0.25">
      <c r="A48" t="str">
        <f t="shared" ref="A48:A61" si="5">A25</f>
        <v>B. Petals</v>
      </c>
      <c r="B48">
        <f t="shared" si="4"/>
        <v>39.144542772861357</v>
      </c>
      <c r="D48" t="str">
        <f t="shared" ref="D48:D61" si="6">IF(A48=0," ", A48)</f>
        <v>B. Petals</v>
      </c>
      <c r="E48">
        <f t="shared" ref="E48:E61" si="7">IF(B48=0," ", B48)</f>
        <v>39.144542772861357</v>
      </c>
    </row>
    <row r="49" spans="1:5" x14ac:dyDescent="0.25">
      <c r="A49" t="str">
        <f t="shared" si="5"/>
        <v>C. Water</v>
      </c>
      <c r="B49">
        <f t="shared" si="4"/>
        <v>62.123893805309734</v>
      </c>
      <c r="D49" t="str">
        <f t="shared" si="6"/>
        <v>C. Water</v>
      </c>
      <c r="E49">
        <f t="shared" si="7"/>
        <v>62.123893805309734</v>
      </c>
    </row>
    <row r="50" spans="1:5" x14ac:dyDescent="0.25">
      <c r="A50" t="str">
        <f t="shared" si="5"/>
        <v>D. Fire</v>
      </c>
      <c r="B50">
        <f t="shared" si="4"/>
        <v>88.633235004916429</v>
      </c>
      <c r="D50" t="str">
        <f t="shared" si="6"/>
        <v>D. Fire</v>
      </c>
      <c r="E50">
        <f t="shared" si="7"/>
        <v>88.633235004916429</v>
      </c>
    </row>
    <row r="51" spans="1:5" x14ac:dyDescent="0.25">
      <c r="A51" t="str">
        <f t="shared" si="5"/>
        <v>E. Earth</v>
      </c>
      <c r="B51">
        <f t="shared" si="4"/>
        <v>62.212389380530972</v>
      </c>
      <c r="D51" t="str">
        <f t="shared" si="6"/>
        <v>E. Earth</v>
      </c>
      <c r="E51">
        <f t="shared" si="7"/>
        <v>62.212389380530972</v>
      </c>
    </row>
    <row r="52" spans="1:5" x14ac:dyDescent="0.25">
      <c r="A52">
        <f t="shared" si="5"/>
        <v>0</v>
      </c>
      <c r="B52">
        <f t="shared" si="4"/>
        <v>0</v>
      </c>
      <c r="D52" t="str">
        <f t="shared" si="6"/>
        <v xml:space="preserve"> </v>
      </c>
      <c r="E52" t="str">
        <f t="shared" si="7"/>
        <v xml:space="preserve"> </v>
      </c>
    </row>
    <row r="53" spans="1:5" x14ac:dyDescent="0.25">
      <c r="A53">
        <f t="shared" si="5"/>
        <v>0</v>
      </c>
      <c r="B53">
        <f t="shared" si="4"/>
        <v>0</v>
      </c>
      <c r="D53" t="str">
        <f t="shared" si="6"/>
        <v xml:space="preserve"> </v>
      </c>
      <c r="E53" t="str">
        <f t="shared" si="7"/>
        <v xml:space="preserve"> </v>
      </c>
    </row>
    <row r="54" spans="1:5" x14ac:dyDescent="0.25">
      <c r="A54">
        <f t="shared" si="5"/>
        <v>0</v>
      </c>
      <c r="B54">
        <f t="shared" si="4"/>
        <v>0</v>
      </c>
      <c r="D54" t="str">
        <f t="shared" si="6"/>
        <v xml:space="preserve"> </v>
      </c>
      <c r="E54" t="str">
        <f t="shared" si="7"/>
        <v xml:space="preserve"> </v>
      </c>
    </row>
    <row r="55" spans="1:5" x14ac:dyDescent="0.25">
      <c r="A55">
        <f t="shared" si="5"/>
        <v>0</v>
      </c>
      <c r="B55">
        <f t="shared" si="4"/>
        <v>0</v>
      </c>
      <c r="D55" t="str">
        <f t="shared" si="6"/>
        <v xml:space="preserve"> </v>
      </c>
      <c r="E55" t="str">
        <f t="shared" si="7"/>
        <v xml:space="preserve"> </v>
      </c>
    </row>
    <row r="56" spans="1:5" x14ac:dyDescent="0.25">
      <c r="A56">
        <f t="shared" si="5"/>
        <v>0</v>
      </c>
      <c r="B56">
        <f t="shared" si="4"/>
        <v>0</v>
      </c>
      <c r="D56" t="str">
        <f t="shared" si="6"/>
        <v xml:space="preserve"> </v>
      </c>
      <c r="E56" t="str">
        <f t="shared" si="7"/>
        <v xml:space="preserve"> </v>
      </c>
    </row>
    <row r="57" spans="1:5" x14ac:dyDescent="0.25">
      <c r="A57">
        <f t="shared" si="5"/>
        <v>0</v>
      </c>
      <c r="B57">
        <f>IF(B34="","",SUMPRODUCT(B34:D34,$B$43:$D$43))</f>
        <v>0</v>
      </c>
      <c r="D57" t="str">
        <f t="shared" si="6"/>
        <v xml:space="preserve"> </v>
      </c>
      <c r="E57" t="str">
        <f t="shared" si="7"/>
        <v xml:space="preserve"> </v>
      </c>
    </row>
    <row r="58" spans="1:5" x14ac:dyDescent="0.25">
      <c r="A58">
        <f t="shared" si="5"/>
        <v>0</v>
      </c>
      <c r="B58">
        <f t="shared" si="4"/>
        <v>0</v>
      </c>
      <c r="D58" t="str">
        <f t="shared" si="6"/>
        <v xml:space="preserve"> </v>
      </c>
      <c r="E58" t="str">
        <f t="shared" si="7"/>
        <v xml:space="preserve"> </v>
      </c>
    </row>
    <row r="59" spans="1:5" x14ac:dyDescent="0.25">
      <c r="A59">
        <f t="shared" si="5"/>
        <v>0</v>
      </c>
      <c r="B59">
        <f t="shared" si="4"/>
        <v>0</v>
      </c>
      <c r="D59" t="str">
        <f t="shared" si="6"/>
        <v xml:space="preserve"> </v>
      </c>
      <c r="E59" t="str">
        <f t="shared" si="7"/>
        <v xml:space="preserve"> </v>
      </c>
    </row>
    <row r="60" spans="1:5" x14ac:dyDescent="0.25">
      <c r="A60">
        <f t="shared" si="5"/>
        <v>0</v>
      </c>
      <c r="B60">
        <f t="shared" si="4"/>
        <v>0</v>
      </c>
      <c r="D60" t="str">
        <f t="shared" si="6"/>
        <v xml:space="preserve"> </v>
      </c>
      <c r="E60" t="str">
        <f t="shared" si="7"/>
        <v xml:space="preserve"> </v>
      </c>
    </row>
    <row r="61" spans="1:5" x14ac:dyDescent="0.25">
      <c r="A61">
        <f t="shared" si="5"/>
        <v>0</v>
      </c>
      <c r="B61">
        <f t="shared" si="4"/>
        <v>0</v>
      </c>
      <c r="D61" t="str">
        <f t="shared" si="6"/>
        <v xml:space="preserve"> </v>
      </c>
      <c r="E61" t="str">
        <f t="shared" si="7"/>
        <v xml:space="preserve"> </v>
      </c>
    </row>
    <row r="63" spans="1:5" x14ac:dyDescent="0.25">
      <c r="A63" t="s">
        <v>25</v>
      </c>
      <c r="B63" t="str">
        <f>INDEX(A47:B61,MATCH(MAX(B47:B61),B47:B61,0),1)</f>
        <v>D. Fire</v>
      </c>
    </row>
    <row r="64" spans="1:5" x14ac:dyDescent="0.25">
      <c r="B64" t="str">
        <f>B63</f>
        <v>D. Fire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64"/>
  <sheetViews>
    <sheetView topLeftCell="A61" workbookViewId="0">
      <selection activeCell="B64" sqref="B64"/>
    </sheetView>
  </sheetViews>
  <sheetFormatPr defaultRowHeight="15" x14ac:dyDescent="0.25"/>
  <cols>
    <col min="2" max="2" width="14.28515625" bestFit="1" customWidth="1"/>
    <col min="6" max="7" width="2.85546875" customWidth="1"/>
    <col min="8" max="8" width="3" customWidth="1"/>
    <col min="9" max="9" width="3.85546875" customWidth="1"/>
  </cols>
  <sheetData>
    <row r="1" spans="1:14" x14ac:dyDescent="0.25">
      <c r="J1" s="2" t="s">
        <v>21</v>
      </c>
      <c r="K1" s="1"/>
      <c r="L1" s="1"/>
      <c r="M1" s="2" t="s">
        <v>2</v>
      </c>
      <c r="N1" s="1"/>
    </row>
    <row r="2" spans="1:14" x14ac:dyDescent="0.25">
      <c r="A2" t="s">
        <v>3</v>
      </c>
      <c r="B2" s="6" t="s">
        <v>16</v>
      </c>
      <c r="C2" s="6" t="s">
        <v>2</v>
      </c>
      <c r="D2" s="6" t="s">
        <v>15</v>
      </c>
      <c r="J2" s="2" t="s">
        <v>0</v>
      </c>
      <c r="K2" s="1"/>
      <c r="L2" s="1"/>
      <c r="M2" s="2" t="s">
        <v>22</v>
      </c>
      <c r="N2" s="1"/>
    </row>
    <row r="3" spans="1:14" x14ac:dyDescent="0.25">
      <c r="A3" t="str">
        <f>Linear!A3</f>
        <v>A. Rose</v>
      </c>
      <c r="B3">
        <f>Linear!B3</f>
        <v>10000</v>
      </c>
      <c r="C3" t="str">
        <f>Linear!C3</f>
        <v>Washington</v>
      </c>
      <c r="D3" t="str">
        <f>Linear!D3</f>
        <v>Boring</v>
      </c>
      <c r="J3" s="3" t="s">
        <v>20</v>
      </c>
      <c r="K3" s="3">
        <f>Linear!K3</f>
        <v>0</v>
      </c>
      <c r="L3" s="1"/>
      <c r="M3" t="str">
        <f>Inputs!F2</f>
        <v>Washington</v>
      </c>
      <c r="N3" s="3">
        <f>Inputs!G2</f>
        <v>10</v>
      </c>
    </row>
    <row r="4" spans="1:14" x14ac:dyDescent="0.25">
      <c r="A4" t="str">
        <f>Linear!A4</f>
        <v>B. Petals</v>
      </c>
      <c r="B4">
        <f>Linear!B4</f>
        <v>4000</v>
      </c>
      <c r="C4" t="str">
        <f>Linear!C4</f>
        <v>Austin</v>
      </c>
      <c r="D4" t="str">
        <f>Linear!D4</f>
        <v>Great</v>
      </c>
      <c r="J4" s="3" t="s">
        <v>5</v>
      </c>
      <c r="K4" s="3">
        <f>Linear!K4</f>
        <v>30</v>
      </c>
      <c r="L4" s="1"/>
      <c r="M4" t="str">
        <f>Inputs!F3</f>
        <v>Austin</v>
      </c>
      <c r="N4" s="3">
        <f>Inputs!G3</f>
        <v>30</v>
      </c>
    </row>
    <row r="5" spans="1:14" x14ac:dyDescent="0.25">
      <c r="A5" t="str">
        <f>Linear!A5</f>
        <v>C. Water</v>
      </c>
      <c r="B5">
        <f>Linear!B5</f>
        <v>1000</v>
      </c>
      <c r="C5" t="str">
        <f>Linear!C5</f>
        <v>New York</v>
      </c>
      <c r="D5" t="str">
        <f>Linear!D5</f>
        <v>Excellent</v>
      </c>
      <c r="J5" s="3" t="s">
        <v>4</v>
      </c>
      <c r="K5" s="3">
        <f>Linear!K5</f>
        <v>50</v>
      </c>
      <c r="L5" s="1"/>
      <c r="M5" t="str">
        <f>Inputs!F4</f>
        <v>New York</v>
      </c>
      <c r="N5" s="3">
        <f>Inputs!G4</f>
        <v>90</v>
      </c>
    </row>
    <row r="6" spans="1:14" x14ac:dyDescent="0.25">
      <c r="A6" t="str">
        <f>Linear!A6</f>
        <v>D. Fire</v>
      </c>
      <c r="B6">
        <f>Linear!B6</f>
        <v>9000</v>
      </c>
      <c r="C6" t="str">
        <f>Linear!C6</f>
        <v>Boston</v>
      </c>
      <c r="D6" t="str">
        <f>Linear!D6</f>
        <v>Excellent</v>
      </c>
      <c r="J6" s="3" t="s">
        <v>7</v>
      </c>
      <c r="K6" s="3">
        <f>Linear!K6</f>
        <v>100</v>
      </c>
      <c r="L6" s="1"/>
      <c r="M6" t="str">
        <f>Inputs!F5</f>
        <v>Boston</v>
      </c>
      <c r="N6" s="3">
        <f>Inputs!G5</f>
        <v>70</v>
      </c>
    </row>
    <row r="7" spans="1:14" x14ac:dyDescent="0.25">
      <c r="A7" t="str">
        <f>Linear!A7</f>
        <v>E. Earth</v>
      </c>
      <c r="B7">
        <f>Linear!B7</f>
        <v>10000</v>
      </c>
      <c r="C7" t="str">
        <f>Linear!C7</f>
        <v>Manila</v>
      </c>
      <c r="D7" t="str">
        <f>Linear!D7</f>
        <v>Good</v>
      </c>
      <c r="J7" s="3"/>
      <c r="K7" s="3"/>
      <c r="L7" s="1"/>
      <c r="M7" t="str">
        <f>Inputs!F6</f>
        <v>Manila</v>
      </c>
      <c r="N7" s="3">
        <f>Inputs!G6</f>
        <v>60</v>
      </c>
    </row>
    <row r="8" spans="1:14" x14ac:dyDescent="0.25">
      <c r="A8">
        <f>Linear!A8</f>
        <v>0</v>
      </c>
      <c r="B8">
        <f>Linear!B8</f>
        <v>0</v>
      </c>
      <c r="C8">
        <f>Linear!C8</f>
        <v>0</v>
      </c>
      <c r="D8">
        <f>Linear!D8</f>
        <v>0</v>
      </c>
      <c r="J8" s="3"/>
      <c r="K8" s="3"/>
      <c r="L8" s="1"/>
      <c r="M8" t="str">
        <f>Inputs!F7</f>
        <v xml:space="preserve"> </v>
      </c>
      <c r="N8" s="3">
        <f>Inputs!G7</f>
        <v>0</v>
      </c>
    </row>
    <row r="9" spans="1:14" x14ac:dyDescent="0.25">
      <c r="A9">
        <f>Linear!A9</f>
        <v>0</v>
      </c>
      <c r="B9">
        <f>Linear!B9</f>
        <v>0</v>
      </c>
      <c r="C9">
        <f>Linear!C9</f>
        <v>0</v>
      </c>
      <c r="D9">
        <f>Linear!D9</f>
        <v>0</v>
      </c>
      <c r="J9" s="3"/>
      <c r="K9" s="3"/>
      <c r="L9" s="1"/>
      <c r="M9" t="str">
        <f>Inputs!F8</f>
        <v xml:space="preserve"> </v>
      </c>
      <c r="N9" s="3">
        <f>Inputs!G8</f>
        <v>0</v>
      </c>
    </row>
    <row r="10" spans="1:14" x14ac:dyDescent="0.25">
      <c r="A10">
        <f>Linear!A10</f>
        <v>0</v>
      </c>
      <c r="B10">
        <f>Linear!B10</f>
        <v>0</v>
      </c>
      <c r="C10">
        <f>Linear!C10</f>
        <v>0</v>
      </c>
      <c r="D10">
        <f>Linear!D10</f>
        <v>0</v>
      </c>
      <c r="J10" s="3"/>
      <c r="K10" s="3"/>
      <c r="L10" s="1"/>
      <c r="M10" t="str">
        <f>Inputs!F9</f>
        <v xml:space="preserve"> </v>
      </c>
      <c r="N10" s="3">
        <f>Inputs!G9</f>
        <v>0</v>
      </c>
    </row>
    <row r="11" spans="1:14" x14ac:dyDescent="0.25">
      <c r="A11">
        <f>Linear!A11</f>
        <v>0</v>
      </c>
      <c r="B11">
        <f>Linear!B11</f>
        <v>0</v>
      </c>
      <c r="C11">
        <f>Linear!C11</f>
        <v>0</v>
      </c>
      <c r="D11">
        <f>Linear!D11</f>
        <v>0</v>
      </c>
      <c r="J11" s="3"/>
      <c r="K11" s="3"/>
      <c r="L11" s="1"/>
      <c r="M11" t="str">
        <f>Inputs!F10</f>
        <v xml:space="preserve"> </v>
      </c>
      <c r="N11" s="3">
        <f>Inputs!G10</f>
        <v>0</v>
      </c>
    </row>
    <row r="12" spans="1:14" x14ac:dyDescent="0.25">
      <c r="A12">
        <f>Linear!A12</f>
        <v>0</v>
      </c>
      <c r="B12">
        <f>Linear!B12</f>
        <v>0</v>
      </c>
      <c r="C12">
        <f>Linear!C12</f>
        <v>0</v>
      </c>
      <c r="D12">
        <f>Linear!D12</f>
        <v>0</v>
      </c>
      <c r="J12" s="3"/>
      <c r="K12" s="3"/>
      <c r="L12" s="1"/>
      <c r="M12" t="str">
        <f>Inputs!F11</f>
        <v xml:space="preserve"> </v>
      </c>
      <c r="N12" s="3">
        <f>Inputs!G11</f>
        <v>0</v>
      </c>
    </row>
    <row r="13" spans="1:14" x14ac:dyDescent="0.25">
      <c r="A13">
        <f>Linear!A13</f>
        <v>0</v>
      </c>
      <c r="B13">
        <f>Linear!B13</f>
        <v>0</v>
      </c>
      <c r="C13">
        <f>Linear!C13</f>
        <v>0</v>
      </c>
      <c r="D13">
        <f>Linear!D13</f>
        <v>0</v>
      </c>
      <c r="J13" s="2"/>
      <c r="K13" s="3"/>
      <c r="L13" s="1"/>
      <c r="M13" t="str">
        <f>Inputs!F12</f>
        <v xml:space="preserve"> </v>
      </c>
      <c r="N13" s="3">
        <f>Inputs!G12</f>
        <v>0</v>
      </c>
    </row>
    <row r="14" spans="1:14" x14ac:dyDescent="0.25">
      <c r="A14">
        <f>Linear!A14</f>
        <v>0</v>
      </c>
      <c r="B14">
        <f>Linear!B14</f>
        <v>0</v>
      </c>
      <c r="C14">
        <f>Linear!C14</f>
        <v>0</v>
      </c>
      <c r="D14">
        <f>Linear!D14</f>
        <v>0</v>
      </c>
      <c r="J14" s="4" t="s">
        <v>11</v>
      </c>
      <c r="K14" s="5">
        <f>Inputs!G24</f>
        <v>0</v>
      </c>
      <c r="L14" s="1"/>
      <c r="M14" t="str">
        <f>Inputs!F13</f>
        <v xml:space="preserve"> </v>
      </c>
      <c r="N14" s="3">
        <f>Inputs!G13</f>
        <v>0</v>
      </c>
    </row>
    <row r="15" spans="1:14" x14ac:dyDescent="0.25">
      <c r="A15">
        <f>Linear!A15</f>
        <v>0</v>
      </c>
      <c r="B15">
        <f>Linear!B15</f>
        <v>0</v>
      </c>
      <c r="C15">
        <f>Linear!C15</f>
        <v>0</v>
      </c>
      <c r="D15">
        <f>Linear!D15</f>
        <v>0</v>
      </c>
      <c r="J15" s="3"/>
      <c r="K15" s="3"/>
      <c r="L15" s="1"/>
      <c r="M15" t="str">
        <f>Inputs!F14</f>
        <v xml:space="preserve"> </v>
      </c>
      <c r="N15" s="3">
        <f>Inputs!G14</f>
        <v>0</v>
      </c>
    </row>
    <row r="16" spans="1:14" x14ac:dyDescent="0.25">
      <c r="A16">
        <f>Linear!A16</f>
        <v>0</v>
      </c>
      <c r="B16">
        <f>Linear!B16</f>
        <v>0</v>
      </c>
      <c r="C16">
        <f>Linear!C16</f>
        <v>0</v>
      </c>
      <c r="D16">
        <f>Linear!D16</f>
        <v>0</v>
      </c>
      <c r="J16" s="3"/>
      <c r="K16" s="3"/>
      <c r="L16" s="1"/>
      <c r="M16" t="str">
        <f>Inputs!F15</f>
        <v xml:space="preserve"> </v>
      </c>
      <c r="N16" s="3">
        <f>Inputs!G15</f>
        <v>0</v>
      </c>
    </row>
    <row r="17" spans="1:14" x14ac:dyDescent="0.25">
      <c r="A17">
        <f>Linear!A17</f>
        <v>0</v>
      </c>
      <c r="B17">
        <f>Linear!B17</f>
        <v>0</v>
      </c>
      <c r="C17">
        <f>Linear!C17</f>
        <v>0</v>
      </c>
      <c r="D17">
        <f>Linear!D17</f>
        <v>0</v>
      </c>
      <c r="J17" s="3"/>
      <c r="K17" s="5"/>
      <c r="L17" s="1"/>
      <c r="M17" t="str">
        <f>Inputs!F16</f>
        <v xml:space="preserve"> </v>
      </c>
      <c r="N17" s="3">
        <f>Inputs!G16</f>
        <v>0</v>
      </c>
    </row>
    <row r="18" spans="1:14" x14ac:dyDescent="0.25">
      <c r="A18" s="6" t="s">
        <v>19</v>
      </c>
      <c r="B18" s="7">
        <v>1000</v>
      </c>
      <c r="C18" s="8" t="str">
        <f>INDEX($J$3:$J$6,MATCH(MIN($K$3:$K$6),$K$3:$K$6,0),1)</f>
        <v>Boring</v>
      </c>
      <c r="D18" s="8" t="str">
        <f>INDEX($M$3:$M$17,MATCH(MIN($N$3:$N$17),$N$3:$N$17,0),1)</f>
        <v xml:space="preserve"> </v>
      </c>
    </row>
    <row r="19" spans="1:14" x14ac:dyDescent="0.25">
      <c r="A19" s="6" t="s">
        <v>18</v>
      </c>
      <c r="B19" s="7">
        <v>10000</v>
      </c>
      <c r="C19" s="8" t="str">
        <f>INDEX($J$3:$J$6,MATCH(MAX($K$3:$K$6),$K$3:$K$6,0),1)</f>
        <v>Excellent</v>
      </c>
      <c r="D19" s="8" t="str">
        <f>INDEX($M$3:$M$10,MATCH(MAX($N$3:$N$10),$N$3:$N$10,0),1)</f>
        <v>New York</v>
      </c>
    </row>
    <row r="21" spans="1:14" x14ac:dyDescent="0.25">
      <c r="A21" t="s">
        <v>17</v>
      </c>
    </row>
    <row r="23" spans="1:14" x14ac:dyDescent="0.25">
      <c r="A23" t="s">
        <v>3</v>
      </c>
      <c r="B23" s="6" t="s">
        <v>16</v>
      </c>
      <c r="C23" s="6" t="s">
        <v>2</v>
      </c>
      <c r="D23" s="6" t="s">
        <v>15</v>
      </c>
    </row>
    <row r="24" spans="1:14" x14ac:dyDescent="0.25">
      <c r="A24" t="str">
        <f t="shared" ref="A24:A38" si="0">A3</f>
        <v>A. Rose</v>
      </c>
      <c r="B24" t="e">
        <f>IF(B3=0,"0",IF(B3="","",ExponSalary(B$19,B$18,B3,$K$14)*100))</f>
        <v>#VALUE!</v>
      </c>
      <c r="C24">
        <f>IF(C3=0,"0",IF(C3="","",INDEX($M$3:$N$17,MATCH(C3,$M$3:$M$17,0),2)))</f>
        <v>10</v>
      </c>
      <c r="D24">
        <f>IF(D3=0,"0",IF(D3="","",INDEX($J$3:$K$6,MATCH(D3,$J$3:$J$6,0),2)))</f>
        <v>0</v>
      </c>
    </row>
    <row r="25" spans="1:14" x14ac:dyDescent="0.25">
      <c r="A25" t="str">
        <f t="shared" si="0"/>
        <v>B. Petals</v>
      </c>
      <c r="B25" t="e">
        <f>IF(B4=0,"0",IF(B4="","",ExponSalary(B$19,B$18,B4,$K$14)*100))</f>
        <v>#VALUE!</v>
      </c>
      <c r="C25">
        <f t="shared" ref="C25:C38" si="1">IF(C4=0,"0",IF(C4="","",INDEX($M$3:$N$17,MATCH(C4,$M$3:$M$17,0),2)))</f>
        <v>30</v>
      </c>
      <c r="D25">
        <f t="shared" ref="D25:D38" si="2">IF(D4=0,"0",IF(D4="","",INDEX($J$3:$K$6,MATCH(D4,$J$3:$J$6,0),2)))</f>
        <v>50</v>
      </c>
    </row>
    <row r="26" spans="1:14" x14ac:dyDescent="0.25">
      <c r="A26" t="str">
        <f t="shared" si="0"/>
        <v>C. Water</v>
      </c>
      <c r="B26" t="e">
        <f>IF(B5=0,"0",IF(B5="","",ExponSalary(B$19,B$18,B5,$K$14)*100))</f>
        <v>#VALUE!</v>
      </c>
      <c r="C26">
        <f t="shared" si="1"/>
        <v>90</v>
      </c>
      <c r="D26">
        <f>IF(D5=0,"0",IF(D5="","",INDEX($J$3:$K$6,MATCH(D5,$J$3:$J$6,0),2)))</f>
        <v>100</v>
      </c>
    </row>
    <row r="27" spans="1:14" x14ac:dyDescent="0.25">
      <c r="A27" t="str">
        <f t="shared" si="0"/>
        <v>D. Fire</v>
      </c>
      <c r="B27" t="e">
        <f>IF(B6=0,"0",IF(B6="","",ExponSalary(B$19,B$18,B6,$K$14)*100))</f>
        <v>#VALUE!</v>
      </c>
      <c r="C27">
        <f t="shared" si="1"/>
        <v>70</v>
      </c>
      <c r="D27">
        <f t="shared" si="2"/>
        <v>100</v>
      </c>
    </row>
    <row r="28" spans="1:14" x14ac:dyDescent="0.25">
      <c r="A28" t="str">
        <f t="shared" si="0"/>
        <v>E. Earth</v>
      </c>
      <c r="B28" t="e">
        <f>IF(B7=0,"0",IF(B7="","",ExponSalary(B$19,B$18,B7,$K$14)*100))</f>
        <v>#VALUE!</v>
      </c>
      <c r="C28">
        <f t="shared" si="1"/>
        <v>60</v>
      </c>
      <c r="D28">
        <f t="shared" si="2"/>
        <v>30</v>
      </c>
    </row>
    <row r="29" spans="1:14" x14ac:dyDescent="0.25">
      <c r="A29">
        <f t="shared" si="0"/>
        <v>0</v>
      </c>
      <c r="B29" t="str">
        <f>IF(B8=0,"0",IF(B8="","",ExponSalary(B$19,B$18,B8,$K$14)*100))</f>
        <v>0</v>
      </c>
      <c r="C29" t="str">
        <f t="shared" si="1"/>
        <v>0</v>
      </c>
      <c r="D29" t="str">
        <f t="shared" si="2"/>
        <v>0</v>
      </c>
    </row>
    <row r="30" spans="1:14" x14ac:dyDescent="0.25">
      <c r="A30">
        <f t="shared" si="0"/>
        <v>0</v>
      </c>
      <c r="B30" t="str">
        <f>IF(B9=0,"0",IF(B9="","",ExponSalary(B$19,B$18,B9,$K$14)*100))</f>
        <v>0</v>
      </c>
      <c r="C30" t="str">
        <f t="shared" si="1"/>
        <v>0</v>
      </c>
      <c r="D30" t="str">
        <f t="shared" si="2"/>
        <v>0</v>
      </c>
    </row>
    <row r="31" spans="1:14" x14ac:dyDescent="0.25">
      <c r="A31">
        <f t="shared" si="0"/>
        <v>0</v>
      </c>
      <c r="B31" t="str">
        <f>IF(B10=0,"0",IF(B10="","",ExponSalary(B$19,B$18,B10,$K$14)*100))</f>
        <v>0</v>
      </c>
      <c r="C31" t="str">
        <f t="shared" si="1"/>
        <v>0</v>
      </c>
      <c r="D31" t="str">
        <f t="shared" si="2"/>
        <v>0</v>
      </c>
    </row>
    <row r="32" spans="1:14" x14ac:dyDescent="0.25">
      <c r="A32">
        <f t="shared" si="0"/>
        <v>0</v>
      </c>
      <c r="B32" t="str">
        <f>IF(B11=0,"0",IF(B11="","",ExponSalary(B$19,B$18,B11,$K$14)*100))</f>
        <v>0</v>
      </c>
      <c r="C32" t="str">
        <f t="shared" si="1"/>
        <v>0</v>
      </c>
      <c r="D32" t="str">
        <f t="shared" si="2"/>
        <v>0</v>
      </c>
    </row>
    <row r="33" spans="1:5" x14ac:dyDescent="0.25">
      <c r="A33">
        <f t="shared" si="0"/>
        <v>0</v>
      </c>
      <c r="B33" t="str">
        <f>IF(B12=0,"0",IF(B12="","",ExponSalary(B$19,B$18,B12,$K$14)*100))</f>
        <v>0</v>
      </c>
      <c r="C33" t="str">
        <f t="shared" si="1"/>
        <v>0</v>
      </c>
      <c r="D33" t="str">
        <f t="shared" si="2"/>
        <v>0</v>
      </c>
    </row>
    <row r="34" spans="1:5" x14ac:dyDescent="0.25">
      <c r="A34">
        <f t="shared" si="0"/>
        <v>0</v>
      </c>
      <c r="B34" t="str">
        <f>IF(B13=0,"0",IF(B13="","",ExponSalary(B$19,B$18,B13,$K$14)*100))</f>
        <v>0</v>
      </c>
      <c r="C34" t="str">
        <f t="shared" si="1"/>
        <v>0</v>
      </c>
      <c r="D34" t="str">
        <f t="shared" si="2"/>
        <v>0</v>
      </c>
    </row>
    <row r="35" spans="1:5" x14ac:dyDescent="0.25">
      <c r="A35">
        <f t="shared" si="0"/>
        <v>0</v>
      </c>
      <c r="B35" t="str">
        <f>IF(B14=0,"0",IF(B14="","",ExponSalary(B$19,B$18,B14,$K$14)*100))</f>
        <v>0</v>
      </c>
      <c r="C35" t="str">
        <f t="shared" si="1"/>
        <v>0</v>
      </c>
      <c r="D35" t="str">
        <f t="shared" si="2"/>
        <v>0</v>
      </c>
    </row>
    <row r="36" spans="1:5" x14ac:dyDescent="0.25">
      <c r="A36">
        <f t="shared" si="0"/>
        <v>0</v>
      </c>
      <c r="B36" t="str">
        <f>IF(B15=0,"0",IF(B15="","",ExponSalary(B$19,B$18,B15,$K$14)*100))</f>
        <v>0</v>
      </c>
      <c r="C36" t="str">
        <f t="shared" si="1"/>
        <v>0</v>
      </c>
      <c r="D36" t="str">
        <f t="shared" si="2"/>
        <v>0</v>
      </c>
    </row>
    <row r="37" spans="1:5" x14ac:dyDescent="0.25">
      <c r="A37">
        <f t="shared" si="0"/>
        <v>0</v>
      </c>
      <c r="B37" t="str">
        <f>IF(B16=0,"0",IF(B16="","",ExponSalary(B$19,B$18,B16,$K$14)*100))</f>
        <v>0</v>
      </c>
      <c r="C37" t="str">
        <f t="shared" si="1"/>
        <v>0</v>
      </c>
      <c r="D37" t="str">
        <f t="shared" si="2"/>
        <v>0</v>
      </c>
    </row>
    <row r="38" spans="1:5" x14ac:dyDescent="0.25">
      <c r="A38">
        <f t="shared" si="0"/>
        <v>0</v>
      </c>
      <c r="B38" t="str">
        <f>IF(B17=0,"0",IF(B17="","",ExponSalary(B$19,B$18,B17,$K$14)*100))</f>
        <v>0</v>
      </c>
      <c r="C38" t="str">
        <f t="shared" si="1"/>
        <v>0</v>
      </c>
      <c r="D38" t="str">
        <f t="shared" si="2"/>
        <v>0</v>
      </c>
    </row>
    <row r="39" spans="1:5" x14ac:dyDescent="0.25">
      <c r="A39" s="6"/>
      <c r="B39" s="7"/>
      <c r="C39" s="8"/>
      <c r="D39" s="8"/>
    </row>
    <row r="40" spans="1:5" x14ac:dyDescent="0.25">
      <c r="A40" s="6" t="s">
        <v>23</v>
      </c>
      <c r="B40" s="7"/>
      <c r="C40" s="8"/>
      <c r="D40" s="8"/>
    </row>
    <row r="41" spans="1:5" x14ac:dyDescent="0.25">
      <c r="B41" t="s">
        <v>16</v>
      </c>
      <c r="C41" t="s">
        <v>2</v>
      </c>
      <c r="D41" t="s">
        <v>0</v>
      </c>
    </row>
    <row r="42" spans="1:5" x14ac:dyDescent="0.25">
      <c r="A42" t="s">
        <v>14</v>
      </c>
      <c r="B42">
        <f>Inputs!K2</f>
        <v>80</v>
      </c>
      <c r="C42">
        <f>Inputs!K3</f>
        <v>56</v>
      </c>
      <c r="D42">
        <f>Inputs!K4</f>
        <v>90</v>
      </c>
    </row>
    <row r="43" spans="1:5" x14ac:dyDescent="0.25">
      <c r="A43" t="s">
        <v>13</v>
      </c>
      <c r="B43">
        <f>IF(SUM($B$42:$D$42)=0,"0",B42/SUM($B$42:$D$42))</f>
        <v>0.35398230088495575</v>
      </c>
      <c r="C43">
        <f>IF(SUM($B$42:$D$42)=0,"0",C42/SUM($B$42:$D$42))</f>
        <v>0.24778761061946902</v>
      </c>
      <c r="D43">
        <f>IF(SUM($B$42:$D$42)=0,"0",D42/SUM($B$42:$D$42))</f>
        <v>0.39823008849557523</v>
      </c>
    </row>
    <row r="45" spans="1:5" x14ac:dyDescent="0.25">
      <c r="A45" t="s">
        <v>12</v>
      </c>
      <c r="D45" t="s">
        <v>12</v>
      </c>
    </row>
    <row r="46" spans="1:5" x14ac:dyDescent="0.25">
      <c r="A46" t="str">
        <f t="shared" ref="A46:A61" si="3">A23</f>
        <v>Job</v>
      </c>
      <c r="B46" t="s">
        <v>24</v>
      </c>
      <c r="D46" t="s">
        <v>26</v>
      </c>
      <c r="E46" t="s">
        <v>24</v>
      </c>
    </row>
    <row r="47" spans="1:5" x14ac:dyDescent="0.25">
      <c r="A47" t="str">
        <f t="shared" si="3"/>
        <v>A. Rose</v>
      </c>
      <c r="B47" t="e">
        <f t="shared" ref="B47:B61" si="4">IF(B24="","",SUMPRODUCT(B24:D24,$B$43:$D$43))</f>
        <v>#VALUE!</v>
      </c>
      <c r="D47" t="str">
        <f>IF(A47=0," ", A47)</f>
        <v>A. Rose</v>
      </c>
      <c r="E47" t="e">
        <f>IF(B47=0," ", B47)</f>
        <v>#VALUE!</v>
      </c>
    </row>
    <row r="48" spans="1:5" x14ac:dyDescent="0.25">
      <c r="A48" t="str">
        <f t="shared" si="3"/>
        <v>B. Petals</v>
      </c>
      <c r="B48" t="e">
        <f t="shared" si="4"/>
        <v>#VALUE!</v>
      </c>
      <c r="D48" t="str">
        <f t="shared" ref="D48:D61" si="5">IF(A48=0," ", A48)</f>
        <v>B. Petals</v>
      </c>
      <c r="E48" t="e">
        <f t="shared" ref="E48:E61" si="6">IF(B48=0," ", B48)</f>
        <v>#VALUE!</v>
      </c>
    </row>
    <row r="49" spans="1:5" x14ac:dyDescent="0.25">
      <c r="A49" t="str">
        <f t="shared" si="3"/>
        <v>C. Water</v>
      </c>
      <c r="B49" t="e">
        <f t="shared" si="4"/>
        <v>#VALUE!</v>
      </c>
      <c r="D49" t="str">
        <f t="shared" si="5"/>
        <v>C. Water</v>
      </c>
      <c r="E49" t="e">
        <f t="shared" si="6"/>
        <v>#VALUE!</v>
      </c>
    </row>
    <row r="50" spans="1:5" x14ac:dyDescent="0.25">
      <c r="A50" t="str">
        <f t="shared" si="3"/>
        <v>D. Fire</v>
      </c>
      <c r="B50" t="e">
        <f t="shared" si="4"/>
        <v>#VALUE!</v>
      </c>
      <c r="D50" t="str">
        <f t="shared" si="5"/>
        <v>D. Fire</v>
      </c>
      <c r="E50" t="e">
        <f t="shared" si="6"/>
        <v>#VALUE!</v>
      </c>
    </row>
    <row r="51" spans="1:5" x14ac:dyDescent="0.25">
      <c r="A51" t="str">
        <f t="shared" si="3"/>
        <v>E. Earth</v>
      </c>
      <c r="B51" t="e">
        <f t="shared" si="4"/>
        <v>#VALUE!</v>
      </c>
      <c r="D51" t="str">
        <f t="shared" si="5"/>
        <v>E. Earth</v>
      </c>
      <c r="E51" t="e">
        <f t="shared" si="6"/>
        <v>#VALUE!</v>
      </c>
    </row>
    <row r="52" spans="1:5" x14ac:dyDescent="0.25">
      <c r="A52">
        <f t="shared" si="3"/>
        <v>0</v>
      </c>
      <c r="B52">
        <f t="shared" si="4"/>
        <v>0</v>
      </c>
      <c r="D52" t="str">
        <f t="shared" si="5"/>
        <v xml:space="preserve"> </v>
      </c>
      <c r="E52" t="str">
        <f t="shared" si="6"/>
        <v xml:space="preserve"> </v>
      </c>
    </row>
    <row r="53" spans="1:5" x14ac:dyDescent="0.25">
      <c r="A53">
        <f t="shared" si="3"/>
        <v>0</v>
      </c>
      <c r="B53">
        <f t="shared" si="4"/>
        <v>0</v>
      </c>
      <c r="D53" t="str">
        <f t="shared" si="5"/>
        <v xml:space="preserve"> </v>
      </c>
      <c r="E53" t="str">
        <f t="shared" si="6"/>
        <v xml:space="preserve"> </v>
      </c>
    </row>
    <row r="54" spans="1:5" x14ac:dyDescent="0.25">
      <c r="A54">
        <f t="shared" si="3"/>
        <v>0</v>
      </c>
      <c r="B54">
        <f t="shared" si="4"/>
        <v>0</v>
      </c>
      <c r="D54" t="str">
        <f t="shared" si="5"/>
        <v xml:space="preserve"> </v>
      </c>
      <c r="E54" t="str">
        <f t="shared" si="6"/>
        <v xml:space="preserve"> </v>
      </c>
    </row>
    <row r="55" spans="1:5" x14ac:dyDescent="0.25">
      <c r="A55">
        <f t="shared" si="3"/>
        <v>0</v>
      </c>
      <c r="B55">
        <f t="shared" si="4"/>
        <v>0</v>
      </c>
      <c r="D55" t="str">
        <f t="shared" si="5"/>
        <v xml:space="preserve"> </v>
      </c>
      <c r="E55" t="str">
        <f t="shared" si="6"/>
        <v xml:space="preserve"> </v>
      </c>
    </row>
    <row r="56" spans="1:5" x14ac:dyDescent="0.25">
      <c r="A56">
        <f t="shared" si="3"/>
        <v>0</v>
      </c>
      <c r="B56">
        <f t="shared" si="4"/>
        <v>0</v>
      </c>
      <c r="D56" t="str">
        <f t="shared" si="5"/>
        <v xml:space="preserve"> </v>
      </c>
      <c r="E56" t="str">
        <f t="shared" si="6"/>
        <v xml:space="preserve"> </v>
      </c>
    </row>
    <row r="57" spans="1:5" x14ac:dyDescent="0.25">
      <c r="A57">
        <f t="shared" si="3"/>
        <v>0</v>
      </c>
      <c r="B57">
        <f t="shared" si="4"/>
        <v>0</v>
      </c>
      <c r="D57" t="str">
        <f t="shared" si="5"/>
        <v xml:space="preserve"> </v>
      </c>
      <c r="E57" t="str">
        <f t="shared" si="6"/>
        <v xml:space="preserve"> </v>
      </c>
    </row>
    <row r="58" spans="1:5" x14ac:dyDescent="0.25">
      <c r="A58">
        <f t="shared" si="3"/>
        <v>0</v>
      </c>
      <c r="B58">
        <f t="shared" si="4"/>
        <v>0</v>
      </c>
      <c r="D58" t="str">
        <f t="shared" si="5"/>
        <v xml:space="preserve"> </v>
      </c>
      <c r="E58" t="str">
        <f t="shared" si="6"/>
        <v xml:space="preserve"> </v>
      </c>
    </row>
    <row r="59" spans="1:5" x14ac:dyDescent="0.25">
      <c r="A59">
        <f t="shared" si="3"/>
        <v>0</v>
      </c>
      <c r="B59">
        <f t="shared" si="4"/>
        <v>0</v>
      </c>
      <c r="D59" t="str">
        <f t="shared" si="5"/>
        <v xml:space="preserve"> </v>
      </c>
      <c r="E59" t="str">
        <f t="shared" si="6"/>
        <v xml:space="preserve"> </v>
      </c>
    </row>
    <row r="60" spans="1:5" x14ac:dyDescent="0.25">
      <c r="A60">
        <f t="shared" si="3"/>
        <v>0</v>
      </c>
      <c r="B60">
        <f t="shared" si="4"/>
        <v>0</v>
      </c>
      <c r="D60" t="str">
        <f t="shared" si="5"/>
        <v xml:space="preserve"> </v>
      </c>
      <c r="E60" t="str">
        <f t="shared" si="6"/>
        <v xml:space="preserve"> </v>
      </c>
    </row>
    <row r="61" spans="1:5" x14ac:dyDescent="0.25">
      <c r="A61">
        <f t="shared" si="3"/>
        <v>0</v>
      </c>
      <c r="B61">
        <f t="shared" si="4"/>
        <v>0</v>
      </c>
      <c r="D61" t="str">
        <f t="shared" si="5"/>
        <v xml:space="preserve"> </v>
      </c>
      <c r="E61" t="str">
        <f t="shared" si="6"/>
        <v xml:space="preserve"> </v>
      </c>
    </row>
    <row r="63" spans="1:5" x14ac:dyDescent="0.25">
      <c r="A63" t="s">
        <v>25</v>
      </c>
      <c r="B63" t="e">
        <f>INDEX(A47:B61,MATCH(MAX(B47:B61),B47:B61,0),1)</f>
        <v>#VALUE!</v>
      </c>
    </row>
    <row r="64" spans="1:5" x14ac:dyDescent="0.25">
      <c r="B64" t="e">
        <f>B63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Inputs</vt:lpstr>
      <vt:lpstr>Linear</vt:lpstr>
      <vt:lpstr>Exponential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2016-04-26T20:32:25Z</dcterms:created>
  <dcterms:modified xsi:type="dcterms:W3CDTF">2016-04-27T20:38:44Z</dcterms:modified>
</cp:coreProperties>
</file>